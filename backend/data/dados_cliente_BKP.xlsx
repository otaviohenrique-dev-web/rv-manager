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e83e4c4d7cc83b0/Área de Trabalho/"/>
    </mc:Choice>
  </mc:AlternateContent>
  <xr:revisionPtr revIDLastSave="1222" documentId="13_ncr:1_{280EB9C6-DFFA-4075-A3DD-856183AAF4A3}" xr6:coauthVersionLast="47" xr6:coauthVersionMax="47" xr10:uidLastSave="{3839F94B-1240-4470-9119-7960BE52E594}"/>
  <bookViews>
    <workbookView xWindow="-108" yWindow="-108" windowWidth="23256" windowHeight="12456" firstSheet="1" activeTab="4" xr2:uid="{00000000-000D-0000-FFFF-FFFF00000000}"/>
  </bookViews>
  <sheets>
    <sheet name="LEVI (2)" sheetId="21" r:id="rId1"/>
    <sheet name="LEVI" sheetId="13" r:id="rId2"/>
    <sheet name="CONTROLE DE PEDIDOS" sheetId="15" r:id="rId3"/>
    <sheet name="VALORES DIVERSOS (1)" sheetId="16" r:id="rId4"/>
    <sheet name="VALORES ATUALIZADOS CHAPARIA" sheetId="17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17" l="1"/>
  <c r="G17" i="17"/>
  <c r="I17" i="17"/>
  <c r="E81" i="17"/>
  <c r="G81" i="17" s="1"/>
  <c r="I81" i="17" s="1"/>
  <c r="E79" i="17"/>
  <c r="G79" i="17" s="1"/>
  <c r="I79" i="17" s="1"/>
  <c r="E78" i="17"/>
  <c r="G78" i="17" s="1"/>
  <c r="I78" i="17" s="1"/>
  <c r="E52" i="17"/>
  <c r="G52" i="17" s="1"/>
  <c r="I52" i="17" s="1"/>
  <c r="E50" i="17"/>
  <c r="G50" i="17" s="1"/>
  <c r="I50" i="17" s="1"/>
  <c r="E103" i="17"/>
  <c r="G103" i="17" s="1"/>
  <c r="I103" i="17" s="1"/>
  <c r="E88" i="17" l="1"/>
  <c r="G88" i="17" s="1"/>
  <c r="I88" i="17" s="1"/>
  <c r="E63" i="17" l="1"/>
  <c r="G63" i="17" s="1"/>
  <c r="I63" i="17" s="1"/>
  <c r="E106" i="17" l="1"/>
  <c r="G106" i="17" s="1"/>
  <c r="I106" i="17" s="1"/>
  <c r="E105" i="17"/>
  <c r="G105" i="17" s="1"/>
  <c r="I105" i="17" s="1"/>
  <c r="E104" i="17"/>
  <c r="G104" i="17" s="1"/>
  <c r="I104" i="17" s="1"/>
  <c r="E102" i="17"/>
  <c r="G102" i="17" s="1"/>
  <c r="I102" i="17" s="1"/>
  <c r="E101" i="17"/>
  <c r="G101" i="17" s="1"/>
  <c r="I101" i="17" s="1"/>
  <c r="E100" i="17"/>
  <c r="G100" i="17" s="1"/>
  <c r="I100" i="17" s="1"/>
  <c r="E99" i="17"/>
  <c r="G99" i="17" s="1"/>
  <c r="I99" i="17" s="1"/>
  <c r="E98" i="17"/>
  <c r="G98" i="17" s="1"/>
  <c r="I98" i="17" s="1"/>
  <c r="E97" i="17"/>
  <c r="G97" i="17" s="1"/>
  <c r="I97" i="17" s="1"/>
  <c r="E96" i="17"/>
  <c r="G96" i="17" s="1"/>
  <c r="I96" i="17" s="1"/>
  <c r="E95" i="17"/>
  <c r="G95" i="17" s="1"/>
  <c r="I95" i="17" s="1"/>
  <c r="E94" i="17"/>
  <c r="G94" i="17" s="1"/>
  <c r="I94" i="17" s="1"/>
  <c r="E93" i="17"/>
  <c r="G93" i="17" s="1"/>
  <c r="I93" i="17" s="1"/>
  <c r="E92" i="17"/>
  <c r="G92" i="17" s="1"/>
  <c r="I92" i="17" s="1"/>
  <c r="E91" i="17"/>
  <c r="G91" i="17" s="1"/>
  <c r="I91" i="17" s="1"/>
  <c r="E90" i="17"/>
  <c r="G90" i="17" s="1"/>
  <c r="I90" i="17" s="1"/>
  <c r="E89" i="17"/>
  <c r="G89" i="17" s="1"/>
  <c r="I89" i="17" s="1"/>
  <c r="E87" i="17"/>
  <c r="G87" i="17" s="1"/>
  <c r="I87" i="17" s="1"/>
  <c r="E86" i="17"/>
  <c r="G86" i="17" s="1"/>
  <c r="I86" i="17" s="1"/>
  <c r="E85" i="17"/>
  <c r="G85" i="17" s="1"/>
  <c r="I85" i="17" s="1"/>
  <c r="E84" i="17"/>
  <c r="G84" i="17" s="1"/>
  <c r="I84" i="17" s="1"/>
  <c r="E83" i="17"/>
  <c r="G83" i="17" s="1"/>
  <c r="I83" i="17" s="1"/>
  <c r="E82" i="17"/>
  <c r="G82" i="17" s="1"/>
  <c r="I82" i="17" s="1"/>
  <c r="E80" i="17"/>
  <c r="G80" i="17" s="1"/>
  <c r="I80" i="17" s="1"/>
  <c r="E77" i="17"/>
  <c r="G77" i="17" s="1"/>
  <c r="I77" i="17" s="1"/>
  <c r="E76" i="17"/>
  <c r="G76" i="17" s="1"/>
  <c r="I76" i="17" s="1"/>
  <c r="E75" i="17"/>
  <c r="G75" i="17" s="1"/>
  <c r="I75" i="17" s="1"/>
  <c r="E74" i="17"/>
  <c r="G74" i="17" s="1"/>
  <c r="I74" i="17" s="1"/>
  <c r="E73" i="17"/>
  <c r="G73" i="17" s="1"/>
  <c r="I73" i="17" s="1"/>
  <c r="E72" i="17"/>
  <c r="G72" i="17" s="1"/>
  <c r="I72" i="17" s="1"/>
  <c r="E71" i="17"/>
  <c r="G71" i="17" s="1"/>
  <c r="I71" i="17" s="1"/>
  <c r="E70" i="17"/>
  <c r="G70" i="17" s="1"/>
  <c r="I70" i="17" s="1"/>
  <c r="E69" i="17"/>
  <c r="G69" i="17" s="1"/>
  <c r="I69" i="17" s="1"/>
  <c r="E68" i="17"/>
  <c r="G68" i="17" s="1"/>
  <c r="I68" i="17" s="1"/>
  <c r="E67" i="17"/>
  <c r="G67" i="17" s="1"/>
  <c r="I67" i="17" s="1"/>
  <c r="E66" i="17"/>
  <c r="G66" i="17" s="1"/>
  <c r="I66" i="17" s="1"/>
  <c r="E65" i="17"/>
  <c r="G65" i="17" s="1"/>
  <c r="I65" i="17" s="1"/>
  <c r="E64" i="17"/>
  <c r="G64" i="17" s="1"/>
  <c r="I64" i="17" s="1"/>
  <c r="E62" i="17"/>
  <c r="G62" i="17" s="1"/>
  <c r="I62" i="17" s="1"/>
  <c r="E61" i="17"/>
  <c r="G61" i="17" s="1"/>
  <c r="I61" i="17" s="1"/>
  <c r="E60" i="17"/>
  <c r="G60" i="17" s="1"/>
  <c r="I60" i="17" s="1"/>
  <c r="E59" i="17"/>
  <c r="G59" i="17" s="1"/>
  <c r="I59" i="17" s="1"/>
  <c r="E58" i="17"/>
  <c r="G58" i="17" s="1"/>
  <c r="I58" i="17" s="1"/>
  <c r="E57" i="17"/>
  <c r="G57" i="17" s="1"/>
  <c r="I57" i="17" s="1"/>
  <c r="E56" i="17"/>
  <c r="G56" i="17" s="1"/>
  <c r="I56" i="17" s="1"/>
  <c r="E55" i="17"/>
  <c r="G55" i="17" s="1"/>
  <c r="I55" i="17" s="1"/>
  <c r="E54" i="17"/>
  <c r="G54" i="17" s="1"/>
  <c r="I54" i="17" s="1"/>
  <c r="E53" i="17"/>
  <c r="G53" i="17" s="1"/>
  <c r="I53" i="17" s="1"/>
  <c r="E51" i="17"/>
  <c r="G51" i="17" s="1"/>
  <c r="I51" i="17" s="1"/>
  <c r="E49" i="17"/>
  <c r="G49" i="17" s="1"/>
  <c r="I49" i="17" s="1"/>
  <c r="E48" i="17"/>
  <c r="G48" i="17" s="1"/>
  <c r="I48" i="17" s="1"/>
  <c r="E47" i="17"/>
  <c r="G47" i="17" s="1"/>
  <c r="I47" i="17" s="1"/>
  <c r="E46" i="17"/>
  <c r="G46" i="17" s="1"/>
  <c r="I46" i="17" s="1"/>
  <c r="E45" i="17"/>
  <c r="G45" i="17" s="1"/>
  <c r="I45" i="17" s="1"/>
  <c r="E44" i="17"/>
  <c r="G44" i="17" s="1"/>
  <c r="I44" i="17" s="1"/>
  <c r="E43" i="17"/>
  <c r="G43" i="17" s="1"/>
  <c r="I43" i="17" s="1"/>
  <c r="E42" i="17"/>
  <c r="G42" i="17" s="1"/>
  <c r="I42" i="17" s="1"/>
  <c r="E41" i="17"/>
  <c r="G41" i="17" s="1"/>
  <c r="I41" i="17" s="1"/>
  <c r="E40" i="17"/>
  <c r="G40" i="17" s="1"/>
  <c r="I40" i="17" s="1"/>
  <c r="E39" i="17"/>
  <c r="G39" i="17" s="1"/>
  <c r="I39" i="17" s="1"/>
  <c r="E38" i="17"/>
  <c r="G38" i="17" s="1"/>
  <c r="I38" i="17" s="1"/>
  <c r="E37" i="17"/>
  <c r="G37" i="17" s="1"/>
  <c r="I37" i="17" s="1"/>
  <c r="E36" i="17"/>
  <c r="G36" i="17" s="1"/>
  <c r="I36" i="17" s="1"/>
  <c r="E35" i="17"/>
  <c r="G35" i="17" s="1"/>
  <c r="I35" i="17" s="1"/>
  <c r="E34" i="17"/>
  <c r="G34" i="17" s="1"/>
  <c r="I34" i="17" s="1"/>
  <c r="E33" i="17"/>
  <c r="G33" i="17" s="1"/>
  <c r="I33" i="17" s="1"/>
  <c r="E32" i="17"/>
  <c r="G32" i="17" s="1"/>
  <c r="I32" i="17" s="1"/>
  <c r="E31" i="17"/>
  <c r="G31" i="17" s="1"/>
  <c r="I31" i="17" s="1"/>
  <c r="E30" i="17"/>
  <c r="G30" i="17" s="1"/>
  <c r="I30" i="17" s="1"/>
  <c r="E29" i="17"/>
  <c r="G29" i="17" s="1"/>
  <c r="I29" i="17" s="1"/>
  <c r="E28" i="17"/>
  <c r="G28" i="17" s="1"/>
  <c r="I28" i="17" s="1"/>
  <c r="E27" i="17"/>
  <c r="G27" i="17" s="1"/>
  <c r="I27" i="17" s="1"/>
  <c r="E26" i="17"/>
  <c r="G26" i="17" s="1"/>
  <c r="I26" i="17" s="1"/>
  <c r="E25" i="17"/>
  <c r="G25" i="17" s="1"/>
  <c r="I25" i="17" s="1"/>
  <c r="E24" i="17"/>
  <c r="G24" i="17" s="1"/>
  <c r="I24" i="17" s="1"/>
  <c r="E23" i="17"/>
  <c r="G23" i="17" s="1"/>
  <c r="I23" i="17" s="1"/>
  <c r="E22" i="17"/>
  <c r="G22" i="17" s="1"/>
  <c r="I22" i="17" s="1"/>
  <c r="E21" i="17"/>
  <c r="G21" i="17" s="1"/>
  <c r="I21" i="17" s="1"/>
  <c r="E20" i="17"/>
  <c r="G20" i="17" s="1"/>
  <c r="I20" i="17" s="1"/>
  <c r="E19" i="17"/>
  <c r="G19" i="17" s="1"/>
  <c r="I19" i="17" s="1"/>
  <c r="E18" i="17"/>
  <c r="G18" i="17" s="1"/>
  <c r="I18" i="17" s="1"/>
  <c r="E16" i="17"/>
  <c r="G16" i="17" s="1"/>
  <c r="I16" i="17" s="1"/>
  <c r="E15" i="17"/>
  <c r="G15" i="17" s="1"/>
  <c r="I15" i="17" s="1"/>
  <c r="E14" i="17"/>
  <c r="G14" i="17" s="1"/>
  <c r="I14" i="17" s="1"/>
  <c r="E13" i="17"/>
  <c r="G13" i="17" s="1"/>
  <c r="I13" i="17" s="1"/>
  <c r="E12" i="17"/>
  <c r="G12" i="17" s="1"/>
  <c r="I12" i="17" s="1"/>
  <c r="E11" i="17"/>
  <c r="G11" i="17" s="1"/>
  <c r="I11" i="17" s="1"/>
  <c r="E10" i="17"/>
  <c r="G10" i="17" s="1"/>
  <c r="I10" i="17" s="1"/>
  <c r="E9" i="17"/>
  <c r="G9" i="17" s="1"/>
  <c r="I9" i="17" s="1"/>
  <c r="E8" i="17"/>
  <c r="G8" i="17" s="1"/>
  <c r="I8" i="17" s="1"/>
  <c r="E7" i="17"/>
  <c r="G7" i="17" s="1"/>
  <c r="I7" i="17" s="1"/>
  <c r="E6" i="17"/>
  <c r="G6" i="17" s="1"/>
  <c r="I6" i="17" s="1"/>
  <c r="E5" i="17"/>
  <c r="G5" i="17" s="1"/>
  <c r="I5" i="17" s="1"/>
  <c r="E87" i="16"/>
  <c r="G87" i="16" s="1"/>
  <c r="I87" i="16" s="1"/>
  <c r="E79" i="16"/>
  <c r="G79" i="16" s="1"/>
  <c r="I79" i="16" s="1"/>
  <c r="E77" i="16"/>
  <c r="G77" i="16" s="1"/>
  <c r="I77" i="16" s="1"/>
  <c r="E74" i="16"/>
  <c r="G74" i="16" s="1"/>
  <c r="I74" i="16" s="1"/>
  <c r="E72" i="16"/>
  <c r="G72" i="16" s="1"/>
  <c r="I72" i="16" s="1"/>
  <c r="E101" i="16"/>
  <c r="G101" i="16" s="1"/>
  <c r="I101" i="16" s="1"/>
  <c r="E100" i="16"/>
  <c r="G100" i="16" s="1"/>
  <c r="I100" i="16" s="1"/>
  <c r="E99" i="16"/>
  <c r="G99" i="16" s="1"/>
  <c r="I99" i="16" s="1"/>
  <c r="E98" i="16"/>
  <c r="G98" i="16" s="1"/>
  <c r="I98" i="16" s="1"/>
  <c r="E97" i="16"/>
  <c r="G97" i="16" s="1"/>
  <c r="I97" i="16" s="1"/>
  <c r="E96" i="16"/>
  <c r="G96" i="16" s="1"/>
  <c r="I96" i="16" s="1"/>
  <c r="E95" i="16"/>
  <c r="G95" i="16" s="1"/>
  <c r="I95" i="16" s="1"/>
  <c r="E94" i="16"/>
  <c r="G94" i="16" s="1"/>
  <c r="I94" i="16" s="1"/>
  <c r="E93" i="16"/>
  <c r="G93" i="16" s="1"/>
  <c r="I93" i="16" s="1"/>
  <c r="E92" i="16"/>
  <c r="G92" i="16" s="1"/>
  <c r="I92" i="16" s="1"/>
  <c r="E91" i="16"/>
  <c r="G91" i="16" s="1"/>
  <c r="I91" i="16" s="1"/>
  <c r="E90" i="16"/>
  <c r="G90" i="16" s="1"/>
  <c r="I90" i="16" s="1"/>
  <c r="E89" i="16"/>
  <c r="G89" i="16" s="1"/>
  <c r="I89" i="16" s="1"/>
  <c r="E88" i="16"/>
  <c r="G88" i="16" s="1"/>
  <c r="I88" i="16" s="1"/>
  <c r="E86" i="16"/>
  <c r="G86" i="16" s="1"/>
  <c r="I86" i="16" s="1"/>
  <c r="E85" i="16"/>
  <c r="G85" i="16" s="1"/>
  <c r="I85" i="16" s="1"/>
  <c r="E84" i="16"/>
  <c r="G84" i="16" s="1"/>
  <c r="I84" i="16" s="1"/>
  <c r="E83" i="16"/>
  <c r="G83" i="16" s="1"/>
  <c r="I83" i="16" s="1"/>
  <c r="E82" i="16"/>
  <c r="G82" i="16" s="1"/>
  <c r="I82" i="16" s="1"/>
  <c r="E81" i="16"/>
  <c r="G81" i="16" s="1"/>
  <c r="I81" i="16" s="1"/>
  <c r="E80" i="16"/>
  <c r="G80" i="16" s="1"/>
  <c r="I80" i="16" s="1"/>
  <c r="E78" i="16"/>
  <c r="G78" i="16" s="1"/>
  <c r="I78" i="16" s="1"/>
  <c r="E76" i="16"/>
  <c r="G76" i="16" s="1"/>
  <c r="I76" i="16" s="1"/>
  <c r="E75" i="16"/>
  <c r="G75" i="16" s="1"/>
  <c r="I75" i="16" s="1"/>
  <c r="E73" i="16"/>
  <c r="G73" i="16" s="1"/>
  <c r="I73" i="16" s="1"/>
  <c r="E71" i="16"/>
  <c r="G71" i="16" s="1"/>
  <c r="I71" i="16" s="1"/>
  <c r="E70" i="16"/>
  <c r="G70" i="16" s="1"/>
  <c r="I70" i="16" s="1"/>
  <c r="E69" i="16"/>
  <c r="G69" i="16" s="1"/>
  <c r="I69" i="16" s="1"/>
  <c r="E68" i="16"/>
  <c r="G68" i="16" s="1"/>
  <c r="I68" i="16" s="1"/>
  <c r="E67" i="16"/>
  <c r="G67" i="16" s="1"/>
  <c r="I67" i="16" s="1"/>
  <c r="E66" i="16"/>
  <c r="G66" i="16" s="1"/>
  <c r="I66" i="16" s="1"/>
  <c r="E65" i="16"/>
  <c r="G65" i="16" s="1"/>
  <c r="I65" i="16" s="1"/>
  <c r="E64" i="16"/>
  <c r="G64" i="16" s="1"/>
  <c r="I64" i="16" s="1"/>
  <c r="E63" i="16"/>
  <c r="G63" i="16" s="1"/>
  <c r="I63" i="16" s="1"/>
  <c r="E62" i="16"/>
  <c r="G62" i="16" s="1"/>
  <c r="I62" i="16" s="1"/>
  <c r="E61" i="16"/>
  <c r="G61" i="16" s="1"/>
  <c r="I61" i="16" s="1"/>
  <c r="E60" i="16"/>
  <c r="G60" i="16" s="1"/>
  <c r="I60" i="16" s="1"/>
  <c r="E59" i="16"/>
  <c r="G59" i="16" s="1"/>
  <c r="I59" i="16" s="1"/>
  <c r="E58" i="16"/>
  <c r="G58" i="16" s="1"/>
  <c r="I58" i="16" s="1"/>
  <c r="E57" i="16"/>
  <c r="G57" i="16" s="1"/>
  <c r="I57" i="16" s="1"/>
  <c r="E56" i="16"/>
  <c r="G56" i="16" s="1"/>
  <c r="I56" i="16" s="1"/>
  <c r="E55" i="16"/>
  <c r="G55" i="16" s="1"/>
  <c r="I55" i="16" s="1"/>
  <c r="E54" i="16"/>
  <c r="G54" i="16" s="1"/>
  <c r="I54" i="16" s="1"/>
  <c r="E53" i="16"/>
  <c r="G53" i="16" s="1"/>
  <c r="I53" i="16" s="1"/>
  <c r="E52" i="16"/>
  <c r="G52" i="16" s="1"/>
  <c r="I52" i="16" s="1"/>
  <c r="E51" i="16"/>
  <c r="G51" i="16" s="1"/>
  <c r="I51" i="16" s="1"/>
  <c r="E50" i="16"/>
  <c r="G50" i="16" s="1"/>
  <c r="I50" i="16" s="1"/>
  <c r="E49" i="16"/>
  <c r="G49" i="16" s="1"/>
  <c r="I49" i="16" s="1"/>
  <c r="E48" i="16"/>
  <c r="G48" i="16" s="1"/>
  <c r="I48" i="16" s="1"/>
  <c r="E47" i="16"/>
  <c r="G47" i="16" s="1"/>
  <c r="I47" i="16" s="1"/>
  <c r="E46" i="16"/>
  <c r="G46" i="16" s="1"/>
  <c r="I46" i="16" s="1"/>
  <c r="E45" i="16"/>
  <c r="G45" i="16" s="1"/>
  <c r="I45" i="16" s="1"/>
  <c r="E44" i="16"/>
  <c r="G44" i="16" s="1"/>
  <c r="I44" i="16" s="1"/>
  <c r="E43" i="16"/>
  <c r="G43" i="16" s="1"/>
  <c r="I43" i="16" s="1"/>
  <c r="E42" i="16"/>
  <c r="G42" i="16" s="1"/>
  <c r="I42" i="16" s="1"/>
  <c r="E41" i="16"/>
  <c r="G41" i="16" s="1"/>
  <c r="I41" i="16" s="1"/>
  <c r="E40" i="16"/>
  <c r="G40" i="16" s="1"/>
  <c r="I40" i="16" s="1"/>
  <c r="E39" i="16"/>
  <c r="G39" i="16" s="1"/>
  <c r="I39" i="16" s="1"/>
  <c r="E38" i="16"/>
  <c r="G38" i="16" s="1"/>
  <c r="I38" i="16" s="1"/>
  <c r="E37" i="16"/>
  <c r="G37" i="16" s="1"/>
  <c r="I37" i="16" s="1"/>
  <c r="E36" i="16"/>
  <c r="G36" i="16" s="1"/>
  <c r="I36" i="16" s="1"/>
  <c r="E35" i="16"/>
  <c r="G35" i="16" s="1"/>
  <c r="I35" i="16" s="1"/>
  <c r="E34" i="16"/>
  <c r="G34" i="16" s="1"/>
  <c r="I34" i="16" s="1"/>
  <c r="E33" i="16"/>
  <c r="G33" i="16" s="1"/>
  <c r="I33" i="16" s="1"/>
  <c r="E32" i="16"/>
  <c r="G32" i="16" s="1"/>
  <c r="I32" i="16" s="1"/>
  <c r="E31" i="16"/>
  <c r="G31" i="16" s="1"/>
  <c r="I31" i="16" s="1"/>
  <c r="E30" i="16"/>
  <c r="G30" i="16" s="1"/>
  <c r="I30" i="16" s="1"/>
  <c r="E29" i="16"/>
  <c r="G29" i="16" s="1"/>
  <c r="I29" i="16" s="1"/>
  <c r="E28" i="16"/>
  <c r="G28" i="16" s="1"/>
  <c r="I28" i="16" s="1"/>
  <c r="E27" i="16"/>
  <c r="G27" i="16" s="1"/>
  <c r="I27" i="16" s="1"/>
  <c r="E26" i="16"/>
  <c r="G26" i="16" s="1"/>
  <c r="I26" i="16" s="1"/>
  <c r="E25" i="16"/>
  <c r="G25" i="16" s="1"/>
  <c r="I25" i="16" s="1"/>
  <c r="E24" i="16"/>
  <c r="G24" i="16" s="1"/>
  <c r="I24" i="16" s="1"/>
  <c r="E23" i="16"/>
  <c r="G23" i="16" s="1"/>
  <c r="I23" i="16" s="1"/>
  <c r="E22" i="16"/>
  <c r="G22" i="16" s="1"/>
  <c r="I22" i="16" s="1"/>
  <c r="E21" i="16"/>
  <c r="G21" i="16" s="1"/>
  <c r="I21" i="16" s="1"/>
  <c r="E20" i="16"/>
  <c r="G20" i="16" s="1"/>
  <c r="I20" i="16" s="1"/>
  <c r="E19" i="16"/>
  <c r="G19" i="16" s="1"/>
  <c r="I19" i="16" s="1"/>
  <c r="E18" i="16"/>
  <c r="G18" i="16" s="1"/>
  <c r="I18" i="16" s="1"/>
  <c r="E17" i="16"/>
  <c r="G17" i="16" s="1"/>
  <c r="I17" i="16" s="1"/>
  <c r="E16" i="16"/>
  <c r="G16" i="16" s="1"/>
  <c r="I16" i="16" s="1"/>
  <c r="E15" i="16"/>
  <c r="G15" i="16" s="1"/>
  <c r="I15" i="16" s="1"/>
  <c r="E14" i="16"/>
  <c r="G14" i="16" s="1"/>
  <c r="I14" i="16" s="1"/>
  <c r="E13" i="16"/>
  <c r="G13" i="16" s="1"/>
  <c r="I13" i="16" s="1"/>
  <c r="E12" i="16"/>
  <c r="G12" i="16" s="1"/>
  <c r="I12" i="16" s="1"/>
  <c r="E11" i="16"/>
  <c r="G11" i="16" s="1"/>
  <c r="I11" i="16" s="1"/>
  <c r="E10" i="16"/>
  <c r="G10" i="16" s="1"/>
  <c r="I10" i="16" s="1"/>
  <c r="E9" i="16"/>
  <c r="G9" i="16" s="1"/>
  <c r="I9" i="16" s="1"/>
  <c r="E8" i="16"/>
  <c r="G8" i="16" s="1"/>
  <c r="I8" i="16" s="1"/>
  <c r="E7" i="16"/>
  <c r="G7" i="16" s="1"/>
  <c r="I7" i="16" s="1"/>
  <c r="E6" i="16"/>
  <c r="G6" i="16" s="1"/>
  <c r="I6" i="16" s="1"/>
  <c r="E5" i="16"/>
  <c r="G5" i="16" s="1"/>
  <c r="I5" i="16" s="1"/>
  <c r="H107" i="17" l="1"/>
  <c r="H102" i="16"/>
  <c r="E18" i="13" l="1"/>
  <c r="G18" i="13" s="1"/>
  <c r="I18" i="13" s="1"/>
  <c r="E86" i="13" l="1"/>
  <c r="G86" i="13" s="1"/>
  <c r="I86" i="13" s="1"/>
  <c r="E74" i="13" l="1"/>
  <c r="G74" i="13" s="1"/>
  <c r="I74" i="13" s="1"/>
  <c r="E75" i="13"/>
  <c r="G75" i="13" s="1"/>
  <c r="I75" i="13" s="1"/>
  <c r="E65" i="13"/>
  <c r="G65" i="13" s="1"/>
  <c r="I65" i="13" s="1"/>
  <c r="E61" i="13"/>
  <c r="G61" i="13" s="1"/>
  <c r="I61" i="13" s="1"/>
  <c r="E19" i="13"/>
  <c r="G19" i="13" s="1"/>
  <c r="I19" i="13" s="1"/>
  <c r="E28" i="13" l="1"/>
  <c r="G28" i="13" s="1"/>
  <c r="I28" i="13" s="1"/>
  <c r="E90" i="13" l="1"/>
  <c r="G90" i="13" s="1"/>
  <c r="I90" i="13" s="1"/>
  <c r="E16" i="13" l="1"/>
  <c r="G16" i="13" s="1"/>
  <c r="I16" i="13" s="1"/>
  <c r="E44" i="13" l="1"/>
  <c r="G44" i="13" s="1"/>
  <c r="I44" i="13" s="1"/>
  <c r="E40" i="13"/>
  <c r="G40" i="13" s="1"/>
  <c r="I40" i="13" s="1"/>
  <c r="E15" i="13"/>
  <c r="G15" i="13" s="1"/>
  <c r="I15" i="13" s="1"/>
  <c r="E79" i="13" l="1"/>
  <c r="G79" i="13" s="1"/>
  <c r="I79" i="13" s="1"/>
  <c r="E41" i="13" l="1"/>
  <c r="G41" i="13" s="1"/>
  <c r="I41" i="13" s="1"/>
  <c r="E49" i="13"/>
  <c r="E48" i="13"/>
  <c r="G48" i="13" s="1"/>
  <c r="E47" i="13"/>
  <c r="E46" i="13"/>
  <c r="E39" i="13" l="1"/>
  <c r="G39" i="13" s="1"/>
  <c r="I39" i="13" s="1"/>
  <c r="E78" i="13" l="1"/>
  <c r="G78" i="13" s="1"/>
  <c r="I78" i="13" s="1"/>
  <c r="E26" i="13" l="1"/>
  <c r="G26" i="13" s="1"/>
  <c r="I26" i="13" s="1"/>
  <c r="E23" i="13"/>
  <c r="G23" i="13" s="1"/>
  <c r="I23" i="13" s="1"/>
  <c r="E7" i="13"/>
  <c r="G7" i="13" s="1"/>
  <c r="I7" i="13" s="1"/>
  <c r="E25" i="13"/>
  <c r="G25" i="13" s="1"/>
  <c r="I25" i="13" s="1"/>
  <c r="E77" i="13" l="1"/>
  <c r="G77" i="13" s="1"/>
  <c r="I77" i="13" s="1"/>
  <c r="E27" i="13" l="1"/>
  <c r="G27" i="13" s="1"/>
  <c r="I27" i="13" s="1"/>
  <c r="E6" i="13" l="1"/>
  <c r="G6" i="13" s="1"/>
  <c r="I6" i="13" s="1"/>
  <c r="E81" i="13"/>
  <c r="G81" i="13" s="1"/>
  <c r="I81" i="13" s="1"/>
  <c r="E76" i="13" l="1"/>
  <c r="G76" i="13" s="1"/>
  <c r="I76" i="13" s="1"/>
  <c r="E84" i="13"/>
  <c r="G84" i="13" s="1"/>
  <c r="I84" i="13" s="1"/>
  <c r="E83" i="13"/>
  <c r="G83" i="13" s="1"/>
  <c r="I83" i="13" s="1"/>
  <c r="E82" i="13"/>
  <c r="G82" i="13" s="1"/>
  <c r="I82" i="13" s="1"/>
  <c r="E45" i="13"/>
  <c r="E32" i="13" l="1"/>
  <c r="G32" i="13" s="1"/>
  <c r="I32" i="13" s="1"/>
  <c r="E43" i="13" l="1"/>
  <c r="G43" i="13" s="1"/>
  <c r="I43" i="13" s="1"/>
  <c r="E91" i="13"/>
  <c r="G91" i="13" s="1"/>
  <c r="I91" i="13" s="1"/>
  <c r="E89" i="13"/>
  <c r="G89" i="13" s="1"/>
  <c r="I89" i="13" s="1"/>
  <c r="E22" i="13"/>
  <c r="G22" i="13" s="1"/>
  <c r="I22" i="13" s="1"/>
  <c r="G47" i="13"/>
  <c r="I47" i="13" s="1"/>
  <c r="E57" i="13"/>
  <c r="G57" i="13" s="1"/>
  <c r="I57" i="13" s="1"/>
  <c r="G49" i="13"/>
  <c r="I49" i="13" s="1"/>
  <c r="E12" i="13"/>
  <c r="G12" i="13" s="1"/>
  <c r="I12" i="13" s="1"/>
  <c r="E21" i="13" l="1"/>
  <c r="G21" i="13" s="1"/>
  <c r="I21" i="13" s="1"/>
  <c r="E42" i="13"/>
  <c r="G42" i="13" s="1"/>
  <c r="I42" i="13" s="1"/>
  <c r="E38" i="13"/>
  <c r="G38" i="13" s="1"/>
  <c r="I38" i="13" s="1"/>
  <c r="E36" i="13"/>
  <c r="G36" i="13" s="1"/>
  <c r="I36" i="13" s="1"/>
  <c r="E14" i="13" l="1"/>
  <c r="G14" i="13" s="1"/>
  <c r="I14" i="13" s="1"/>
  <c r="E34" i="13"/>
  <c r="G34" i="13" s="1"/>
  <c r="I34" i="13" s="1"/>
  <c r="E67" i="13"/>
  <c r="G67" i="13" s="1"/>
  <c r="I67" i="13" s="1"/>
  <c r="E31" i="13"/>
  <c r="G31" i="13" s="1"/>
  <c r="I31" i="13" s="1"/>
  <c r="E62" i="13"/>
  <c r="G62" i="13" s="1"/>
  <c r="I62" i="13" s="1"/>
  <c r="E56" i="13"/>
  <c r="G56" i="13" s="1"/>
  <c r="I56" i="13" s="1"/>
  <c r="E52" i="13"/>
  <c r="G52" i="13" s="1"/>
  <c r="I52" i="13" s="1"/>
  <c r="E17" i="13"/>
  <c r="G17" i="13" s="1"/>
  <c r="I17" i="13" s="1"/>
  <c r="E51" i="13"/>
  <c r="G51" i="13" s="1"/>
  <c r="I51" i="13" s="1"/>
  <c r="E54" i="13"/>
  <c r="G54" i="13" s="1"/>
  <c r="I54" i="13" s="1"/>
  <c r="E9" i="13"/>
  <c r="G9" i="13" s="1"/>
  <c r="I9" i="13" s="1"/>
  <c r="E11" i="13"/>
  <c r="G11" i="13" s="1"/>
  <c r="I11" i="13" s="1"/>
  <c r="E60" i="13"/>
  <c r="G60" i="13" s="1"/>
  <c r="I60" i="13" s="1"/>
  <c r="E8" i="13" l="1"/>
  <c r="G8" i="13" s="1"/>
  <c r="E68" i="13"/>
  <c r="E10" i="13"/>
  <c r="G10" i="13" s="1"/>
  <c r="I10" i="13" s="1"/>
  <c r="E37" i="13"/>
  <c r="E35" i="13"/>
  <c r="E33" i="13"/>
  <c r="E30" i="13"/>
  <c r="E29" i="13"/>
  <c r="E24" i="13"/>
  <c r="E20" i="13"/>
  <c r="G46" i="13"/>
  <c r="I46" i="13" s="1"/>
  <c r="I48" i="13"/>
  <c r="E85" i="13"/>
  <c r="G85" i="13" s="1"/>
  <c r="E63" i="13"/>
  <c r="G63" i="13" s="1"/>
  <c r="I63" i="13" s="1"/>
  <c r="E58" i="13"/>
  <c r="G58" i="13" s="1"/>
  <c r="I58" i="13" s="1"/>
  <c r="E64" i="13" l="1"/>
  <c r="G64" i="13" s="1"/>
  <c r="I64" i="13" s="1"/>
  <c r="E87" i="13"/>
  <c r="E92" i="13"/>
  <c r="G92" i="13" s="1"/>
  <c r="I92" i="13" s="1"/>
  <c r="E88" i="13"/>
  <c r="G88" i="13" s="1"/>
  <c r="I88" i="13" s="1"/>
  <c r="E73" i="13"/>
  <c r="E50" i="13"/>
  <c r="G50" i="13" s="1"/>
  <c r="I50" i="13" s="1"/>
  <c r="G45" i="13"/>
  <c r="I45" i="13" s="1"/>
  <c r="E80" i="13"/>
  <c r="E72" i="13"/>
  <c r="G72" i="13" s="1"/>
  <c r="I72" i="13" s="1"/>
  <c r="E71" i="13"/>
  <c r="G71" i="13" s="1"/>
  <c r="I71" i="13" s="1"/>
  <c r="E70" i="13"/>
  <c r="G70" i="13" s="1"/>
  <c r="I70" i="13" s="1"/>
  <c r="E69" i="13"/>
  <c r="G69" i="13" s="1"/>
  <c r="I69" i="13" s="1"/>
  <c r="G68" i="13"/>
  <c r="I68" i="13" s="1"/>
  <c r="E66" i="13"/>
  <c r="G66" i="13" s="1"/>
  <c r="I66" i="13" s="1"/>
  <c r="E59" i="13"/>
  <c r="G59" i="13" s="1"/>
  <c r="I59" i="13" s="1"/>
  <c r="E55" i="13"/>
  <c r="G55" i="13" s="1"/>
  <c r="I55" i="13" s="1"/>
  <c r="E53" i="13"/>
  <c r="G53" i="13" s="1"/>
  <c r="I53" i="13" s="1"/>
  <c r="G37" i="13"/>
  <c r="I37" i="13" s="1"/>
  <c r="G35" i="13"/>
  <c r="I35" i="13" s="1"/>
  <c r="G33" i="13"/>
  <c r="I33" i="13" s="1"/>
  <c r="G20" i="13"/>
  <c r="I20" i="13" s="1"/>
  <c r="E13" i="13"/>
  <c r="G13" i="13" s="1"/>
  <c r="I13" i="13" s="1"/>
  <c r="I8" i="13"/>
  <c r="E5" i="13"/>
  <c r="G5" i="13" s="1"/>
  <c r="I5" i="13" s="1"/>
  <c r="I85" i="13"/>
  <c r="G80" i="13" l="1"/>
  <c r="I80" i="13" s="1"/>
  <c r="G73" i="13"/>
  <c r="I73" i="13" s="1"/>
  <c r="G87" i="13"/>
  <c r="I87" i="13" s="1"/>
  <c r="G29" i="13"/>
  <c r="I29" i="13" s="1"/>
  <c r="G24" i="13"/>
  <c r="I24" i="13" s="1"/>
  <c r="G30" i="13"/>
  <c r="I30" i="13" s="1"/>
  <c r="H93" i="13" l="1"/>
</calcChain>
</file>

<file path=xl/sharedStrings.xml><?xml version="1.0" encoding="utf-8"?>
<sst xmlns="http://schemas.openxmlformats.org/spreadsheetml/2006/main" count="786" uniqueCount="106">
  <si>
    <t>ESPESSURA</t>
  </si>
  <si>
    <t>DESCRIÇÃO</t>
  </si>
  <si>
    <t>QD.</t>
  </si>
  <si>
    <t>VALOR</t>
  </si>
  <si>
    <t>CANELADO</t>
  </si>
  <si>
    <t>INCOLOR</t>
  </si>
  <si>
    <t>4MM</t>
  </si>
  <si>
    <t>3MM</t>
  </si>
  <si>
    <t>6MM</t>
  </si>
  <si>
    <t>FUMÊ</t>
  </si>
  <si>
    <t>VALOR TOTAL</t>
  </si>
  <si>
    <t>DAS PEÇAS</t>
  </si>
  <si>
    <t>8MM</t>
  </si>
  <si>
    <t>DA PEÇA</t>
  </si>
  <si>
    <t>LARG.</t>
  </si>
  <si>
    <t>ALT.</t>
  </si>
  <si>
    <t>5MM</t>
  </si>
  <si>
    <t>10MM</t>
  </si>
  <si>
    <r>
      <t xml:space="preserve">LAMINADO </t>
    </r>
    <r>
      <rPr>
        <b/>
        <sz val="14"/>
        <color theme="1"/>
        <rFont val="Calibri"/>
        <family val="2"/>
        <scheme val="minor"/>
      </rPr>
      <t>(INCOLOR)</t>
    </r>
  </si>
  <si>
    <t>3+3</t>
  </si>
  <si>
    <t>4+4</t>
  </si>
  <si>
    <t>3/4 MM</t>
  </si>
  <si>
    <t>MINE BOREAL</t>
  </si>
  <si>
    <t>M²</t>
  </si>
  <si>
    <t>DO M²</t>
  </si>
  <si>
    <r>
      <t xml:space="preserve">FUMÊ </t>
    </r>
    <r>
      <rPr>
        <b/>
        <sz val="14"/>
        <color theme="1"/>
        <rFont val="Calibri"/>
        <family val="2"/>
        <scheme val="minor"/>
      </rPr>
      <t>(IMPORTADO)</t>
    </r>
  </si>
  <si>
    <t>2 MM</t>
  </si>
  <si>
    <t>3 MM</t>
  </si>
  <si>
    <t>2MM</t>
  </si>
  <si>
    <t>DIVERSOS</t>
  </si>
  <si>
    <t>5+5</t>
  </si>
  <si>
    <r>
      <t xml:space="preserve">ESPELHO ECO </t>
    </r>
    <r>
      <rPr>
        <b/>
        <sz val="14"/>
        <color theme="1"/>
        <rFont val="Calibri"/>
        <family val="2"/>
        <scheme val="minor"/>
      </rPr>
      <t>(PRATA)</t>
    </r>
  </si>
  <si>
    <t>BRONZE</t>
  </si>
  <si>
    <r>
      <t xml:space="preserve">LAM. REF. </t>
    </r>
    <r>
      <rPr>
        <b/>
        <sz val="12"/>
        <color theme="1"/>
        <rFont val="Calibri"/>
        <family val="2"/>
        <scheme val="minor"/>
      </rPr>
      <t>PRATA/VERDE</t>
    </r>
  </si>
  <si>
    <t>BRONZE IMPORTADO</t>
  </si>
  <si>
    <t>4 MM</t>
  </si>
  <si>
    <t>ANTI-REFLEXO</t>
  </si>
  <si>
    <t>ESPELHO FUMÊ</t>
  </si>
  <si>
    <r>
      <t xml:space="preserve">LAMINADO </t>
    </r>
    <r>
      <rPr>
        <b/>
        <sz val="14"/>
        <color theme="1"/>
        <rFont val="Calibri"/>
        <family val="2"/>
        <scheme val="minor"/>
      </rPr>
      <t>(VERDE/FUMÊ)</t>
    </r>
  </si>
  <si>
    <t>VERDE</t>
  </si>
  <si>
    <t>ESPELHO PREMIUM AGC</t>
  </si>
  <si>
    <r>
      <t xml:space="preserve">ESPELHO EVOLUTION </t>
    </r>
    <r>
      <rPr>
        <b/>
        <sz val="13"/>
        <color theme="1"/>
        <rFont val="Calibri"/>
        <family val="2"/>
        <scheme val="minor"/>
      </rPr>
      <t>(GUARDIAN)</t>
    </r>
    <r>
      <rPr>
        <b/>
        <sz val="20"/>
        <color theme="1"/>
        <rFont val="Calibri"/>
        <family val="2"/>
        <scheme val="minor"/>
      </rPr>
      <t xml:space="preserve"> </t>
    </r>
  </si>
  <si>
    <t>ESPELHO BRONZE AGC</t>
  </si>
  <si>
    <t>LACOBEL PRETO E BRANCO</t>
  </si>
  <si>
    <t>SUWLUX AZUL REFLETIVO</t>
  </si>
  <si>
    <t>AZUL ESCURO</t>
  </si>
  <si>
    <t>REFLETIVO PRATA AGC</t>
  </si>
  <si>
    <t xml:space="preserve">REFLETIVO VERDE AGC </t>
  </si>
  <si>
    <r>
      <t xml:space="preserve">FUMÊ </t>
    </r>
    <r>
      <rPr>
        <b/>
        <sz val="14"/>
        <color theme="1"/>
        <rFont val="Calibri"/>
        <family val="2"/>
        <scheme val="minor"/>
      </rPr>
      <t>(NACIONAL)</t>
    </r>
  </si>
  <si>
    <t>ESPELHO LIGHT</t>
  </si>
  <si>
    <t>LEVI</t>
  </si>
  <si>
    <t>TABELA DE PREÇO ATUALIZADO 25/09/24</t>
  </si>
  <si>
    <t>REFLETIVO CHAMPANHE AGC</t>
  </si>
  <si>
    <t>ESPESS.</t>
  </si>
  <si>
    <t>CHAPA</t>
  </si>
  <si>
    <t>CORTADA</t>
  </si>
  <si>
    <t>MEIA</t>
  </si>
  <si>
    <t>INTEIRA</t>
  </si>
  <si>
    <t xml:space="preserve">NOME: </t>
  </si>
  <si>
    <t>DATA:</t>
  </si>
  <si>
    <t>FUMÊ (NACIONAL)</t>
  </si>
  <si>
    <t>FUMÊ (IMPORTADO)</t>
  </si>
  <si>
    <t>ESPELHO ECO (PRATA)</t>
  </si>
  <si>
    <t>LAMINADO (INCOLOR)</t>
  </si>
  <si>
    <t>LAMINADO (VERDE/FUMÊ)</t>
  </si>
  <si>
    <t>LAM. REF. PRATA/VERDE</t>
  </si>
  <si>
    <t>CONTROLE DE PEDIDOS</t>
  </si>
  <si>
    <t>OBS.</t>
  </si>
  <si>
    <r>
      <t xml:space="preserve">REFLETIVO CHAMPANHE </t>
    </r>
    <r>
      <rPr>
        <b/>
        <sz val="14"/>
        <color theme="1"/>
        <rFont val="Calibri"/>
        <family val="2"/>
        <scheme val="minor"/>
      </rPr>
      <t>AGC</t>
    </r>
  </si>
  <si>
    <r>
      <t>ESPELHO EVOLUTION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(GUARDIAN)</t>
    </r>
  </si>
  <si>
    <t>12MM</t>
  </si>
  <si>
    <r>
      <t>LAMINADO REF.</t>
    </r>
    <r>
      <rPr>
        <b/>
        <sz val="16"/>
        <color theme="1"/>
        <rFont val="Calibri"/>
        <family val="2"/>
        <scheme val="minor"/>
      </rPr>
      <t xml:space="preserve"> PRATA E CHAMPANHE</t>
    </r>
  </si>
  <si>
    <t>ESPELHO BRONZE importado</t>
  </si>
  <si>
    <t>6 MM</t>
  </si>
  <si>
    <t>8 MM</t>
  </si>
  <si>
    <t>10 MM</t>
  </si>
  <si>
    <t>TABELA DE PREÇO ATUALIZADO 17/10/25</t>
  </si>
  <si>
    <r>
      <t>LAMINADO Nacional</t>
    </r>
    <r>
      <rPr>
        <b/>
        <sz val="14"/>
        <color theme="1"/>
        <rFont val="Calibri"/>
        <family val="2"/>
        <scheme val="minor"/>
      </rPr>
      <t>(INCOLOR)</t>
    </r>
  </si>
  <si>
    <r>
      <t>LAMINADO Importado</t>
    </r>
    <r>
      <rPr>
        <b/>
        <sz val="14"/>
        <color theme="1"/>
        <rFont val="Calibri"/>
        <family val="2"/>
        <scheme val="minor"/>
      </rPr>
      <t>(INCOLOR)</t>
    </r>
  </si>
  <si>
    <r>
      <t>LAMINADO Importado</t>
    </r>
    <r>
      <rPr>
        <b/>
        <sz val="14"/>
        <color theme="1"/>
        <rFont val="Calibri"/>
        <family val="2"/>
        <scheme val="minor"/>
      </rPr>
      <t>(VERDE/FUMÊ)</t>
    </r>
  </si>
  <si>
    <r>
      <t>LAMINADO Nacional</t>
    </r>
    <r>
      <rPr>
        <b/>
        <sz val="14"/>
        <color theme="1"/>
        <rFont val="Calibri"/>
        <family val="2"/>
        <scheme val="minor"/>
      </rPr>
      <t>(VERDE/FUMÊ)</t>
    </r>
  </si>
  <si>
    <t>LIXA</t>
  </si>
  <si>
    <t>ESPELHO FUMÊ AGC</t>
  </si>
  <si>
    <t>LAM.  REF. PRATA, CHAMPANHE E VERDE</t>
  </si>
  <si>
    <t>02</t>
  </si>
  <si>
    <t>05</t>
  </si>
  <si>
    <t>03</t>
  </si>
  <si>
    <t>10</t>
  </si>
  <si>
    <t>Nº PEDIDO</t>
  </si>
  <si>
    <t>DATA</t>
  </si>
  <si>
    <t>EMISSAO DE NOTA</t>
  </si>
  <si>
    <t>VEICULO</t>
  </si>
  <si>
    <t>FORMULARIO DE ENTRADAS</t>
  </si>
  <si>
    <t>TIPO DE VIDRO</t>
  </si>
  <si>
    <t>DESCARREGAMENTO</t>
  </si>
  <si>
    <t>QUANTIDADE</t>
  </si>
  <si>
    <t>Nº QUEBRAS</t>
  </si>
  <si>
    <r>
      <t>LAMINADO IMPORTADO</t>
    </r>
    <r>
      <rPr>
        <b/>
        <sz val="14"/>
        <color theme="1"/>
        <rFont val="Calibri"/>
        <family val="2"/>
        <scheme val="minor"/>
      </rPr>
      <t>(INCOLOR)</t>
    </r>
  </si>
  <si>
    <r>
      <t>LAMINADO IMPORTADO</t>
    </r>
    <r>
      <rPr>
        <b/>
        <sz val="14"/>
        <color theme="1"/>
        <rFont val="Calibri"/>
        <family val="2"/>
        <scheme val="minor"/>
      </rPr>
      <t>(VERDE/FUMÊ)</t>
    </r>
  </si>
  <si>
    <t>TABELA DE PREÇO ATUALIZADO 21/04/26</t>
  </si>
  <si>
    <t xml:space="preserve">             CHAPARIA - JUNHO 2026</t>
  </si>
  <si>
    <t>04</t>
  </si>
  <si>
    <t>45</t>
  </si>
  <si>
    <t>5</t>
  </si>
  <si>
    <t>3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</si>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</sst>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9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/>
    <xf numFmtId="49" fontId="5" fillId="0" borderId="1" xfId="0" applyNumberFormat="1" applyFont="1" applyBorder="1" applyAlignment="1">
      <alignment horizontal="center"/>
    </xf>
    <xf numFmtId="44" fontId="2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4" fontId="2" fillId="0" borderId="1" xfId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9" fillId="0" borderId="0" xfId="0" applyFont="1"/>
    <xf numFmtId="0" fontId="2" fillId="0" borderId="2" xfId="0" applyFont="1" applyBorder="1" applyAlignment="1">
      <alignment horizontal="center"/>
    </xf>
    <xf numFmtId="44" fontId="2" fillId="0" borderId="2" xfId="1" applyFont="1" applyFill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44" fontId="2" fillId="2" borderId="2" xfId="1" applyFont="1" applyFill="1" applyBorder="1" applyAlignment="1">
      <alignment horizontal="center" vertical="center"/>
    </xf>
    <xf numFmtId="44" fontId="2" fillId="0" borderId="2" xfId="1" applyFont="1" applyBorder="1" applyAlignment="1">
      <alignment horizontal="center"/>
    </xf>
    <xf numFmtId="0" fontId="5" fillId="2" borderId="9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44" fontId="6" fillId="0" borderId="2" xfId="1" applyFont="1" applyFill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4" fontId="6" fillId="0" borderId="1" xfId="1" applyFont="1" applyFill="1" applyBorder="1" applyAlignment="1">
      <alignment horizontal="center"/>
    </xf>
    <xf numFmtId="0" fontId="0" fillId="0" borderId="1" xfId="0" applyBorder="1"/>
    <xf numFmtId="0" fontId="14" fillId="0" borderId="1" xfId="0" applyFont="1" applyBorder="1"/>
    <xf numFmtId="0" fontId="15" fillId="0" borderId="0" xfId="0" applyFont="1"/>
    <xf numFmtId="0" fontId="17" fillId="0" borderId="1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2" xfId="0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8" xfId="0" applyBorder="1"/>
    <xf numFmtId="0" fontId="0" fillId="0" borderId="5" xfId="0" applyBorder="1"/>
    <xf numFmtId="44" fontId="10" fillId="0" borderId="3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5" fillId="2" borderId="9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5" fillId="2" borderId="1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45BE7-FC27-416F-AFBD-F23F6CD47538}">
  <sheetPr>
    <pageSetUpPr fitToPage="1"/>
  </sheetPr>
  <dimension ref="A1:H30"/>
  <sheetViews>
    <sheetView zoomScale="70" zoomScaleNormal="70" workbookViewId="0">
      <selection activeCell="A2" sqref="A2:F2"/>
    </sheetView>
  </sheetViews>
  <sheetFormatPr defaultRowHeight="14.4" x14ac:dyDescent="0.3"/>
  <cols>
    <col min="1" max="1" width="46.44140625" customWidth="1"/>
    <col min="2" max="2" width="19.5546875" customWidth="1"/>
    <col min="3" max="3" width="23.5546875" customWidth="1"/>
    <col min="4" max="4" width="19.5546875" customWidth="1"/>
    <col min="5" max="5" width="25.21875" customWidth="1"/>
    <col min="6" max="6" width="19.5546875" customWidth="1"/>
    <col min="7" max="7" width="10.6640625" customWidth="1"/>
    <col min="8" max="8" width="10.109375" customWidth="1"/>
  </cols>
  <sheetData>
    <row r="1" spans="1:8" ht="49.5" customHeight="1" x14ac:dyDescent="0.65">
      <c r="A1" s="44" t="s">
        <v>92</v>
      </c>
      <c r="B1" s="45"/>
      <c r="C1" s="45"/>
      <c r="D1" s="45"/>
      <c r="E1" s="45"/>
      <c r="F1" s="45"/>
      <c r="G1" s="45"/>
      <c r="H1" s="46"/>
    </row>
    <row r="2" spans="1:8" ht="49.5" customHeight="1" x14ac:dyDescent="0.85">
      <c r="A2" s="39" t="s">
        <v>100</v>
      </c>
      <c r="B2" s="40"/>
      <c r="C2" s="40"/>
      <c r="D2" s="40"/>
      <c r="E2" s="40"/>
      <c r="F2" s="40"/>
      <c r="G2" s="35"/>
      <c r="H2" s="33"/>
    </row>
    <row r="3" spans="1:8" ht="21.9" customHeight="1" x14ac:dyDescent="0.3">
      <c r="A3" s="42" t="s">
        <v>93</v>
      </c>
      <c r="B3" s="42" t="s">
        <v>88</v>
      </c>
      <c r="C3" s="42" t="s">
        <v>95</v>
      </c>
      <c r="D3" s="42" t="s">
        <v>91</v>
      </c>
      <c r="E3" s="12" t="s">
        <v>89</v>
      </c>
      <c r="F3" s="13" t="s">
        <v>89</v>
      </c>
      <c r="G3" s="49" t="s">
        <v>96</v>
      </c>
      <c r="H3" s="50"/>
    </row>
    <row r="4" spans="1:8" ht="21.9" customHeight="1" x14ac:dyDescent="0.3">
      <c r="A4" s="43"/>
      <c r="B4" s="43"/>
      <c r="C4" s="43"/>
      <c r="D4" s="43"/>
      <c r="E4" s="32" t="s">
        <v>94</v>
      </c>
      <c r="F4" s="32" t="s">
        <v>90</v>
      </c>
      <c r="G4" s="51"/>
      <c r="H4" s="52"/>
    </row>
    <row r="5" spans="1:8" ht="41.4" customHeight="1" x14ac:dyDescent="0.3">
      <c r="A5" s="23"/>
      <c r="B5" s="23"/>
      <c r="C5" s="23"/>
      <c r="D5" s="23"/>
      <c r="E5" s="23"/>
      <c r="F5" s="34"/>
      <c r="G5" s="47"/>
      <c r="H5" s="48"/>
    </row>
    <row r="6" spans="1:8" ht="42" customHeight="1" x14ac:dyDescent="0.3">
      <c r="A6" s="23"/>
      <c r="B6" s="23"/>
      <c r="C6" s="23"/>
      <c r="D6" s="23"/>
      <c r="E6" s="23"/>
      <c r="F6" s="34"/>
      <c r="G6" s="47"/>
      <c r="H6" s="48"/>
    </row>
    <row r="7" spans="1:8" ht="42" customHeight="1" x14ac:dyDescent="0.3">
      <c r="A7" s="23"/>
      <c r="B7" s="23"/>
      <c r="C7" s="23"/>
      <c r="D7" s="23"/>
      <c r="E7" s="23"/>
      <c r="F7" s="34"/>
      <c r="G7" s="47"/>
      <c r="H7" s="48"/>
    </row>
    <row r="8" spans="1:8" ht="42.6" customHeight="1" x14ac:dyDescent="0.3">
      <c r="A8" s="23"/>
      <c r="B8" s="23"/>
      <c r="C8" s="23"/>
      <c r="D8" s="23"/>
      <c r="E8" s="23"/>
      <c r="F8" s="34"/>
      <c r="G8" s="47"/>
      <c r="H8" s="48"/>
    </row>
    <row r="9" spans="1:8" ht="42.6" customHeight="1" x14ac:dyDescent="0.3">
      <c r="A9" s="23"/>
      <c r="B9" s="23"/>
      <c r="C9" s="23"/>
      <c r="D9" s="23"/>
      <c r="E9" s="23"/>
      <c r="F9" s="34"/>
      <c r="G9" s="47"/>
      <c r="H9" s="48"/>
    </row>
    <row r="10" spans="1:8" ht="42.6" customHeight="1" x14ac:dyDescent="0.3">
      <c r="A10" s="23"/>
      <c r="B10" s="23"/>
      <c r="C10" s="23"/>
      <c r="D10" s="23"/>
      <c r="E10" s="23"/>
      <c r="F10" s="34"/>
      <c r="G10" s="47"/>
      <c r="H10" s="48"/>
    </row>
    <row r="11" spans="1:8" ht="42.6" customHeight="1" x14ac:dyDescent="0.3">
      <c r="A11" s="23"/>
      <c r="B11" s="23"/>
      <c r="C11" s="23"/>
      <c r="D11" s="23"/>
      <c r="E11" s="23"/>
      <c r="F11" s="34"/>
      <c r="G11" s="47"/>
      <c r="H11" s="48"/>
    </row>
    <row r="12" spans="1:8" ht="42.6" customHeight="1" x14ac:dyDescent="0.3">
      <c r="A12" s="23"/>
      <c r="B12" s="23"/>
      <c r="C12" s="23"/>
      <c r="D12" s="23"/>
      <c r="E12" s="23"/>
      <c r="F12" s="34"/>
      <c r="G12" s="47"/>
      <c r="H12" s="48"/>
    </row>
    <row r="13" spans="1:8" ht="42.6" customHeight="1" x14ac:dyDescent="0.3">
      <c r="A13" s="23"/>
      <c r="B13" s="23"/>
      <c r="C13" s="23"/>
      <c r="D13" s="23"/>
      <c r="E13" s="23"/>
      <c r="F13" s="34"/>
      <c r="G13" s="47"/>
      <c r="H13" s="48"/>
    </row>
    <row r="14" spans="1:8" ht="42.6" customHeight="1" x14ac:dyDescent="0.3">
      <c r="A14" s="23"/>
      <c r="B14" s="23"/>
      <c r="C14" s="23"/>
      <c r="D14" s="23"/>
      <c r="E14" s="23"/>
      <c r="F14" s="34"/>
      <c r="G14" s="47"/>
      <c r="H14" s="48"/>
    </row>
    <row r="15" spans="1:8" ht="42.6" customHeight="1" x14ac:dyDescent="0.3">
      <c r="A15" s="23"/>
      <c r="B15" s="23"/>
      <c r="C15" s="23"/>
      <c r="D15" s="23"/>
      <c r="E15" s="23"/>
      <c r="F15" s="34"/>
      <c r="G15" s="47"/>
      <c r="H15" s="48"/>
    </row>
    <row r="16" spans="1:8" ht="42.6" customHeight="1" x14ac:dyDescent="0.3">
      <c r="A16" s="23"/>
      <c r="B16" s="23"/>
      <c r="C16" s="23"/>
      <c r="D16" s="23"/>
      <c r="E16" s="23"/>
      <c r="F16" s="34"/>
      <c r="G16" s="47"/>
      <c r="H16" s="48"/>
    </row>
    <row r="17" spans="1:8" ht="42.6" customHeight="1" x14ac:dyDescent="0.3">
      <c r="A17" s="23"/>
      <c r="B17" s="23"/>
      <c r="C17" s="23"/>
      <c r="D17" s="23"/>
      <c r="E17" s="23"/>
      <c r="F17" s="34"/>
      <c r="G17" s="47"/>
      <c r="H17" s="48"/>
    </row>
    <row r="18" spans="1:8" ht="42.6" customHeight="1" x14ac:dyDescent="0.3">
      <c r="A18" s="23"/>
      <c r="B18" s="23"/>
      <c r="C18" s="23"/>
      <c r="D18" s="23"/>
      <c r="E18" s="23"/>
      <c r="F18" s="34"/>
      <c r="G18" s="47"/>
      <c r="H18" s="48"/>
    </row>
    <row r="19" spans="1:8" ht="42.6" customHeight="1" x14ac:dyDescent="0.3">
      <c r="A19" s="23"/>
      <c r="B19" s="23"/>
      <c r="C19" s="23"/>
      <c r="D19" s="23"/>
      <c r="E19" s="23"/>
      <c r="F19" s="34"/>
      <c r="G19" s="47"/>
      <c r="H19" s="48"/>
    </row>
    <row r="20" spans="1:8" ht="42.6" customHeight="1" x14ac:dyDescent="0.3">
      <c r="A20" s="23"/>
      <c r="B20" s="23"/>
      <c r="C20" s="23"/>
      <c r="D20" s="23"/>
      <c r="E20" s="23"/>
      <c r="F20" s="34"/>
      <c r="G20" s="47"/>
      <c r="H20" s="48"/>
    </row>
    <row r="21" spans="1:8" ht="42.6" customHeight="1" x14ac:dyDescent="0.3">
      <c r="A21" s="23"/>
      <c r="B21" s="23"/>
      <c r="C21" s="23"/>
      <c r="D21" s="23"/>
      <c r="E21" s="23"/>
      <c r="F21" s="34"/>
      <c r="G21" s="47"/>
      <c r="H21" s="48"/>
    </row>
    <row r="22" spans="1:8" ht="42.6" customHeight="1" x14ac:dyDescent="0.3">
      <c r="A22" s="23"/>
      <c r="B22" s="23"/>
      <c r="C22" s="23"/>
      <c r="D22" s="23"/>
      <c r="E22" s="23"/>
      <c r="F22" s="34"/>
      <c r="G22" s="47"/>
      <c r="H22" s="48"/>
    </row>
    <row r="23" spans="1:8" ht="42.6" customHeight="1" x14ac:dyDescent="0.3">
      <c r="A23" s="23"/>
      <c r="B23" s="23"/>
      <c r="C23" s="23"/>
      <c r="D23" s="23"/>
      <c r="E23" s="23"/>
      <c r="F23" s="34"/>
      <c r="G23" s="47"/>
      <c r="H23" s="48"/>
    </row>
    <row r="24" spans="1:8" ht="42.6" customHeight="1" x14ac:dyDescent="0.3">
      <c r="A24" s="23"/>
      <c r="B24" s="23"/>
      <c r="C24" s="23"/>
      <c r="D24" s="23"/>
      <c r="E24" s="23"/>
      <c r="F24" s="34"/>
      <c r="G24" s="47"/>
      <c r="H24" s="48"/>
    </row>
    <row r="25" spans="1:8" ht="42.6" customHeight="1" x14ac:dyDescent="0.3">
      <c r="A25" s="23"/>
      <c r="B25" s="23"/>
      <c r="C25" s="23"/>
      <c r="D25" s="23"/>
      <c r="E25" s="23"/>
      <c r="F25" s="34"/>
      <c r="G25" s="47"/>
      <c r="H25" s="48"/>
    </row>
    <row r="26" spans="1:8" ht="42.6" customHeight="1" x14ac:dyDescent="0.3">
      <c r="A26" s="23"/>
      <c r="B26" s="23"/>
      <c r="C26" s="23"/>
      <c r="D26" s="23"/>
      <c r="E26" s="23"/>
      <c r="F26" s="34"/>
      <c r="G26" s="47"/>
      <c r="H26" s="48"/>
    </row>
    <row r="27" spans="1:8" ht="42.6" customHeight="1" x14ac:dyDescent="0.3">
      <c r="A27" s="23"/>
      <c r="B27" s="23"/>
      <c r="C27" s="23"/>
      <c r="D27" s="23"/>
      <c r="E27" s="23"/>
      <c r="F27" s="34"/>
      <c r="G27" s="47"/>
      <c r="H27" s="48"/>
    </row>
    <row r="28" spans="1:8" ht="42.6" customHeight="1" x14ac:dyDescent="0.3">
      <c r="A28" s="23"/>
      <c r="B28" s="23"/>
      <c r="C28" s="23"/>
      <c r="D28" s="23"/>
      <c r="E28" s="23"/>
      <c r="F28" s="34"/>
      <c r="G28" s="47"/>
      <c r="H28" s="48"/>
    </row>
    <row r="29" spans="1:8" ht="42.6" customHeight="1" x14ac:dyDescent="0.3">
      <c r="A29" s="23"/>
      <c r="B29" s="23"/>
      <c r="C29" s="23"/>
      <c r="D29" s="23"/>
      <c r="E29" s="23"/>
      <c r="F29" s="34"/>
      <c r="G29" s="47"/>
      <c r="H29" s="48"/>
    </row>
    <row r="30" spans="1:8" ht="42.6" customHeight="1" x14ac:dyDescent="0.3">
      <c r="A30" s="23"/>
      <c r="B30" s="23"/>
      <c r="C30" s="23"/>
      <c r="D30" s="23"/>
      <c r="E30" s="23"/>
      <c r="F30" s="34"/>
      <c r="G30" s="47"/>
      <c r="H30" s="48"/>
    </row>
  </sheetData>
  <mergeCells count="33">
    <mergeCell ref="G29:H29"/>
    <mergeCell ref="G30:H30"/>
    <mergeCell ref="G23:H23"/>
    <mergeCell ref="G24:H24"/>
    <mergeCell ref="G25:H25"/>
    <mergeCell ref="G26:H26"/>
    <mergeCell ref="G27:H27"/>
    <mergeCell ref="G28:H28"/>
    <mergeCell ref="G22:H22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A1:H1"/>
    <mergeCell ref="G9:H9"/>
    <mergeCell ref="G10:H10"/>
    <mergeCell ref="A2:F2"/>
    <mergeCell ref="A3:A4"/>
    <mergeCell ref="B3:B4"/>
    <mergeCell ref="C3:C4"/>
    <mergeCell ref="D3:D4"/>
    <mergeCell ref="G3:H4"/>
    <mergeCell ref="G5:H5"/>
    <mergeCell ref="G6:H6"/>
    <mergeCell ref="G7:H7"/>
    <mergeCell ref="G8:H8"/>
  </mergeCells>
  <pageMargins left="0.11811023622047245" right="0.11811023622047245" top="0.39370078740157483" bottom="0.74803149606299213" header="0.31496062992125984" footer="0.31496062992125984"/>
  <pageSetup paperSize="9" scale="5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pageSetUpPr fitToPage="1"/>
  </sheetPr>
  <dimension ref="A1:K93"/>
  <sheetViews>
    <sheetView topLeftCell="A8" zoomScale="70" zoomScaleNormal="70" workbookViewId="0">
      <selection sqref="A1:XFD9"/>
    </sheetView>
  </sheetViews>
  <sheetFormatPr defaultRowHeight="14.4" x14ac:dyDescent="0.3"/>
  <cols>
    <col min="1" max="1" width="42.6640625" bestFit="1" customWidth="1"/>
    <col min="2" max="2" width="20.33203125" customWidth="1"/>
    <col min="3" max="3" width="14" customWidth="1"/>
    <col min="4" max="4" width="13.109375" customWidth="1"/>
    <col min="5" max="5" width="13.44140625" customWidth="1"/>
    <col min="6" max="6" width="22.88671875" customWidth="1"/>
    <col min="7" max="7" width="28.44140625" customWidth="1"/>
    <col min="8" max="8" width="12.88671875" customWidth="1"/>
    <col min="9" max="9" width="30.44140625" customWidth="1"/>
  </cols>
  <sheetData>
    <row r="1" spans="1:11" ht="49.5" customHeight="1" x14ac:dyDescent="0.65">
      <c r="A1" s="37" t="s">
        <v>51</v>
      </c>
      <c r="B1" s="38"/>
      <c r="C1" s="38"/>
      <c r="D1" s="37"/>
      <c r="E1" s="37"/>
      <c r="F1" s="37"/>
      <c r="G1" s="37"/>
      <c r="H1" s="37"/>
      <c r="I1" s="37"/>
    </row>
    <row r="2" spans="1:11" ht="49.5" customHeight="1" x14ac:dyDescent="0.85">
      <c r="A2" s="39" t="s">
        <v>50</v>
      </c>
      <c r="B2" s="40"/>
      <c r="C2" s="40"/>
      <c r="D2" s="40"/>
      <c r="E2" s="40"/>
      <c r="F2" s="40"/>
      <c r="G2" s="40"/>
      <c r="H2" s="40"/>
      <c r="I2" s="41"/>
    </row>
    <row r="3" spans="1:11" ht="21.9" customHeight="1" x14ac:dyDescent="0.3">
      <c r="A3" s="42" t="s">
        <v>1</v>
      </c>
      <c r="B3" s="42" t="s">
        <v>0</v>
      </c>
      <c r="C3" s="42" t="s">
        <v>15</v>
      </c>
      <c r="D3" s="42" t="s">
        <v>14</v>
      </c>
      <c r="E3" s="42" t="s">
        <v>23</v>
      </c>
      <c r="F3" s="12" t="s">
        <v>3</v>
      </c>
      <c r="G3" s="13" t="s">
        <v>3</v>
      </c>
      <c r="H3" s="42" t="s">
        <v>2</v>
      </c>
      <c r="I3" s="12" t="s">
        <v>10</v>
      </c>
    </row>
    <row r="4" spans="1:11" ht="21.9" customHeight="1" x14ac:dyDescent="0.3">
      <c r="A4" s="43"/>
      <c r="B4" s="43"/>
      <c r="C4" s="43"/>
      <c r="D4" s="43"/>
      <c r="E4" s="43"/>
      <c r="F4" s="6" t="s">
        <v>24</v>
      </c>
      <c r="G4" s="6" t="s">
        <v>13</v>
      </c>
      <c r="H4" s="43"/>
      <c r="I4" s="6" t="s">
        <v>11</v>
      </c>
    </row>
    <row r="5" spans="1:11" ht="40.200000000000003" customHeight="1" x14ac:dyDescent="0.5">
      <c r="A5" s="4" t="s">
        <v>5</v>
      </c>
      <c r="B5" s="4" t="s">
        <v>26</v>
      </c>
      <c r="C5" s="4">
        <v>2.2000000000000002</v>
      </c>
      <c r="D5" s="4">
        <v>1.605</v>
      </c>
      <c r="E5" s="4">
        <f t="shared" ref="E5:E49" si="0">(C5*D5)</f>
        <v>3.5310000000000001</v>
      </c>
      <c r="F5" s="5">
        <v>26.25</v>
      </c>
      <c r="G5" s="5">
        <f t="shared" ref="G5:G48" si="1">E5*F5</f>
        <v>92.688749999999999</v>
      </c>
      <c r="H5" s="2"/>
      <c r="I5" s="5">
        <f t="shared" ref="I5:I48" si="2">H5*G5</f>
        <v>0</v>
      </c>
    </row>
    <row r="6" spans="1:11" ht="40.200000000000003" customHeight="1" x14ac:dyDescent="0.5">
      <c r="A6" s="4" t="s">
        <v>5</v>
      </c>
      <c r="B6" s="4" t="s">
        <v>26</v>
      </c>
      <c r="C6" s="4">
        <v>2.4</v>
      </c>
      <c r="D6" s="4">
        <v>1.605</v>
      </c>
      <c r="E6" s="4">
        <f t="shared" si="0"/>
        <v>3.8519999999999999</v>
      </c>
      <c r="F6" s="5">
        <v>26.25</v>
      </c>
      <c r="G6" s="5">
        <f t="shared" si="1"/>
        <v>101.11499999999999</v>
      </c>
      <c r="H6" s="2"/>
      <c r="I6" s="5">
        <f t="shared" si="2"/>
        <v>0</v>
      </c>
    </row>
    <row r="7" spans="1:11" ht="40.200000000000003" customHeight="1" x14ac:dyDescent="0.5">
      <c r="A7" s="4" t="s">
        <v>5</v>
      </c>
      <c r="B7" s="4" t="s">
        <v>26</v>
      </c>
      <c r="C7" s="4">
        <v>2.4</v>
      </c>
      <c r="D7" s="4">
        <v>3.21</v>
      </c>
      <c r="E7" s="4">
        <f t="shared" ref="E7" si="3">(C7*D7)</f>
        <v>7.7039999999999997</v>
      </c>
      <c r="F7" s="5">
        <v>26.25</v>
      </c>
      <c r="G7" s="5">
        <f t="shared" ref="G7" si="4">E7*F7</f>
        <v>202.23</v>
      </c>
      <c r="H7" s="2"/>
      <c r="I7" s="5">
        <f t="shared" ref="I7" si="5">H7*G7</f>
        <v>0</v>
      </c>
    </row>
    <row r="8" spans="1:11" ht="39.9" customHeight="1" x14ac:dyDescent="0.5">
      <c r="A8" s="4" t="s">
        <v>5</v>
      </c>
      <c r="B8" s="4" t="s">
        <v>27</v>
      </c>
      <c r="C8" s="4">
        <v>2.4</v>
      </c>
      <c r="D8" s="4">
        <v>3.21</v>
      </c>
      <c r="E8" s="4">
        <f t="shared" si="0"/>
        <v>7.7039999999999997</v>
      </c>
      <c r="F8" s="5">
        <v>29.5</v>
      </c>
      <c r="G8" s="5">
        <f t="shared" si="1"/>
        <v>227.268</v>
      </c>
      <c r="H8" s="2" t="s">
        <v>85</v>
      </c>
      <c r="I8" s="5">
        <f t="shared" si="2"/>
        <v>1136.3399999999999</v>
      </c>
    </row>
    <row r="9" spans="1:11" ht="40.200000000000003" customHeight="1" x14ac:dyDescent="0.5">
      <c r="A9" s="4" t="s">
        <v>5</v>
      </c>
      <c r="B9" s="4" t="s">
        <v>27</v>
      </c>
      <c r="C9" s="4">
        <v>2.4</v>
      </c>
      <c r="D9" s="4">
        <v>1.605</v>
      </c>
      <c r="E9" s="4">
        <f t="shared" si="0"/>
        <v>3.8519999999999999</v>
      </c>
      <c r="F9" s="5">
        <v>28.5</v>
      </c>
      <c r="G9" s="5">
        <f t="shared" si="1"/>
        <v>109.782</v>
      </c>
      <c r="H9" s="2"/>
      <c r="I9" s="5">
        <f t="shared" si="2"/>
        <v>0</v>
      </c>
    </row>
    <row r="10" spans="1:11" ht="39" customHeight="1" x14ac:dyDescent="0.7">
      <c r="A10" s="4" t="s">
        <v>5</v>
      </c>
      <c r="B10" s="4" t="s">
        <v>6</v>
      </c>
      <c r="C10" s="4">
        <v>2.4</v>
      </c>
      <c r="D10" s="4">
        <v>3.21</v>
      </c>
      <c r="E10" s="4">
        <f t="shared" si="0"/>
        <v>7.7039999999999997</v>
      </c>
      <c r="F10" s="5">
        <v>37.5</v>
      </c>
      <c r="G10" s="5">
        <f t="shared" si="1"/>
        <v>288.89999999999998</v>
      </c>
      <c r="H10" s="2"/>
      <c r="I10" s="5">
        <f t="shared" si="2"/>
        <v>0</v>
      </c>
      <c r="J10" s="8"/>
      <c r="K10" s="1"/>
    </row>
    <row r="11" spans="1:11" ht="40.200000000000003" customHeight="1" x14ac:dyDescent="0.7">
      <c r="A11" s="4" t="s">
        <v>5</v>
      </c>
      <c r="B11" s="4" t="s">
        <v>6</v>
      </c>
      <c r="C11" s="4">
        <v>2.2000000000000002</v>
      </c>
      <c r="D11" s="4">
        <v>1.605</v>
      </c>
      <c r="E11" s="4">
        <f t="shared" si="0"/>
        <v>3.5310000000000001</v>
      </c>
      <c r="F11" s="5">
        <v>37.5</v>
      </c>
      <c r="G11" s="5">
        <f t="shared" si="1"/>
        <v>132.41249999999999</v>
      </c>
      <c r="H11" s="2"/>
      <c r="I11" s="5">
        <f t="shared" si="2"/>
        <v>0</v>
      </c>
      <c r="J11" s="8"/>
      <c r="K11" s="1"/>
    </row>
    <row r="12" spans="1:11" ht="40.200000000000003" customHeight="1" x14ac:dyDescent="0.7">
      <c r="A12" s="4" t="s">
        <v>5</v>
      </c>
      <c r="B12" s="4" t="s">
        <v>6</v>
      </c>
      <c r="C12" s="4">
        <v>2.5499999999999998</v>
      </c>
      <c r="D12" s="4">
        <v>1.605</v>
      </c>
      <c r="E12" s="4">
        <f t="shared" si="0"/>
        <v>4.0927499999999997</v>
      </c>
      <c r="F12" s="5">
        <v>37.5</v>
      </c>
      <c r="G12" s="5">
        <f t="shared" si="1"/>
        <v>153.47812499999998</v>
      </c>
      <c r="H12" s="2"/>
      <c r="I12" s="5">
        <f t="shared" si="2"/>
        <v>0</v>
      </c>
      <c r="J12" s="8"/>
      <c r="K12" s="1"/>
    </row>
    <row r="13" spans="1:11" ht="40.200000000000003" customHeight="1" x14ac:dyDescent="0.5">
      <c r="A13" s="4" t="s">
        <v>5</v>
      </c>
      <c r="B13" s="4" t="s">
        <v>16</v>
      </c>
      <c r="C13" s="4">
        <v>2.4</v>
      </c>
      <c r="D13" s="4">
        <v>1.605</v>
      </c>
      <c r="E13" s="4">
        <f t="shared" si="0"/>
        <v>3.8519999999999999</v>
      </c>
      <c r="F13" s="3">
        <v>47</v>
      </c>
      <c r="G13" s="5">
        <f t="shared" si="1"/>
        <v>181.04399999999998</v>
      </c>
      <c r="H13" s="2"/>
      <c r="I13" s="5">
        <f t="shared" si="2"/>
        <v>0</v>
      </c>
      <c r="J13" s="1"/>
      <c r="K13" s="1"/>
    </row>
    <row r="14" spans="1:11" ht="40.200000000000003" customHeight="1" x14ac:dyDescent="0.5">
      <c r="A14" s="4" t="s">
        <v>5</v>
      </c>
      <c r="B14" s="4" t="s">
        <v>16</v>
      </c>
      <c r="C14" s="4">
        <v>2.4</v>
      </c>
      <c r="D14" s="4">
        <v>3.21</v>
      </c>
      <c r="E14" s="4">
        <f t="shared" si="0"/>
        <v>7.7039999999999997</v>
      </c>
      <c r="F14" s="3">
        <v>47</v>
      </c>
      <c r="G14" s="5">
        <f t="shared" si="1"/>
        <v>362.08799999999997</v>
      </c>
      <c r="H14" s="2"/>
      <c r="I14" s="5">
        <f t="shared" si="2"/>
        <v>0</v>
      </c>
      <c r="J14" s="1"/>
      <c r="K14" s="1"/>
    </row>
    <row r="15" spans="1:11" ht="40.200000000000003" customHeight="1" x14ac:dyDescent="0.5">
      <c r="A15" s="4" t="s">
        <v>5</v>
      </c>
      <c r="B15" s="4" t="s">
        <v>16</v>
      </c>
      <c r="C15" s="4">
        <v>2.2000000000000002</v>
      </c>
      <c r="D15" s="4">
        <v>1.605</v>
      </c>
      <c r="E15" s="4">
        <f t="shared" ref="E15" si="6">(C15*D15)</f>
        <v>3.5310000000000001</v>
      </c>
      <c r="F15" s="3">
        <v>47</v>
      </c>
      <c r="G15" s="5">
        <f t="shared" ref="G15" si="7">E15*F15</f>
        <v>165.95699999999999</v>
      </c>
      <c r="H15" s="2"/>
      <c r="I15" s="5">
        <f t="shared" ref="I15" si="8">H15*G15</f>
        <v>0</v>
      </c>
      <c r="J15" s="1"/>
      <c r="K15" s="1"/>
    </row>
    <row r="16" spans="1:11" ht="39" customHeight="1" x14ac:dyDescent="0.5">
      <c r="A16" s="4" t="s">
        <v>5</v>
      </c>
      <c r="B16" s="4" t="s">
        <v>8</v>
      </c>
      <c r="C16" s="4">
        <v>2.4</v>
      </c>
      <c r="D16" s="4">
        <v>1.605</v>
      </c>
      <c r="E16" s="4">
        <f t="shared" si="0"/>
        <v>3.8519999999999999</v>
      </c>
      <c r="F16" s="3">
        <v>58</v>
      </c>
      <c r="G16" s="5">
        <f t="shared" si="1"/>
        <v>223.416</v>
      </c>
      <c r="H16" s="2"/>
      <c r="I16" s="5">
        <f t="shared" si="2"/>
        <v>0</v>
      </c>
      <c r="J16" s="1"/>
      <c r="K16" s="1"/>
    </row>
    <row r="17" spans="1:11" ht="39.9" customHeight="1" x14ac:dyDescent="0.5">
      <c r="A17" s="4" t="s">
        <v>5</v>
      </c>
      <c r="B17" s="4" t="s">
        <v>8</v>
      </c>
      <c r="C17" s="4">
        <v>2.4</v>
      </c>
      <c r="D17" s="4">
        <v>3.21</v>
      </c>
      <c r="E17" s="4">
        <f t="shared" si="0"/>
        <v>7.7039999999999997</v>
      </c>
      <c r="F17" s="3">
        <v>62</v>
      </c>
      <c r="G17" s="5">
        <f t="shared" si="1"/>
        <v>477.64799999999997</v>
      </c>
      <c r="H17" s="2" t="s">
        <v>85</v>
      </c>
      <c r="I17" s="5">
        <f t="shared" si="2"/>
        <v>2388.2399999999998</v>
      </c>
      <c r="J17" s="1"/>
      <c r="K17" s="1"/>
    </row>
    <row r="18" spans="1:11" ht="39.9" customHeight="1" x14ac:dyDescent="0.5">
      <c r="A18" s="4" t="s">
        <v>5</v>
      </c>
      <c r="B18" s="4" t="s">
        <v>8</v>
      </c>
      <c r="C18" s="4">
        <v>2</v>
      </c>
      <c r="D18" s="4">
        <v>1.605</v>
      </c>
      <c r="E18" s="4">
        <f t="shared" ref="E18" si="9">(C18*D18)</f>
        <v>3.21</v>
      </c>
      <c r="F18" s="3">
        <v>58</v>
      </c>
      <c r="G18" s="5">
        <f t="shared" ref="G18" si="10">E18*F18</f>
        <v>186.18</v>
      </c>
      <c r="H18" s="2"/>
      <c r="I18" s="5">
        <f t="shared" ref="I18" si="11">H18*G18</f>
        <v>0</v>
      </c>
      <c r="J18" s="1"/>
      <c r="K18" s="1"/>
    </row>
    <row r="19" spans="1:11" ht="39.9" customHeight="1" x14ac:dyDescent="0.5">
      <c r="A19" s="4" t="s">
        <v>5</v>
      </c>
      <c r="B19" s="4" t="s">
        <v>8</v>
      </c>
      <c r="C19" s="4">
        <v>2.4</v>
      </c>
      <c r="D19" s="4">
        <v>1.8</v>
      </c>
      <c r="E19" s="4">
        <f t="shared" ref="E19" si="12">(C19*D19)</f>
        <v>4.32</v>
      </c>
      <c r="F19" s="3">
        <v>58</v>
      </c>
      <c r="G19" s="5">
        <f t="shared" ref="G19" si="13">E19*F19</f>
        <v>250.56</v>
      </c>
      <c r="H19" s="2"/>
      <c r="I19" s="5">
        <f t="shared" ref="I19" si="14">H19*G19</f>
        <v>0</v>
      </c>
      <c r="J19" s="1"/>
      <c r="K19" s="1"/>
    </row>
    <row r="20" spans="1:11" ht="39" customHeight="1" x14ac:dyDescent="0.5">
      <c r="A20" s="4" t="s">
        <v>5</v>
      </c>
      <c r="B20" s="4" t="s">
        <v>12</v>
      </c>
      <c r="C20" s="4">
        <v>2.4</v>
      </c>
      <c r="D20" s="4">
        <v>3.6</v>
      </c>
      <c r="E20" s="4">
        <f t="shared" si="0"/>
        <v>8.64</v>
      </c>
      <c r="F20" s="3">
        <v>78</v>
      </c>
      <c r="G20" s="5">
        <f t="shared" si="1"/>
        <v>673.92000000000007</v>
      </c>
      <c r="H20" s="2"/>
      <c r="I20" s="5">
        <f t="shared" si="2"/>
        <v>0</v>
      </c>
      <c r="J20" s="1"/>
      <c r="K20" s="1"/>
    </row>
    <row r="21" spans="1:11" ht="39.9" customHeight="1" x14ac:dyDescent="0.5">
      <c r="A21" s="4" t="s">
        <v>5</v>
      </c>
      <c r="B21" s="4" t="s">
        <v>12</v>
      </c>
      <c r="C21" s="4">
        <v>2.4</v>
      </c>
      <c r="D21" s="4">
        <v>1.8</v>
      </c>
      <c r="E21" s="4">
        <f t="shared" si="0"/>
        <v>4.32</v>
      </c>
      <c r="F21" s="3">
        <v>78</v>
      </c>
      <c r="G21" s="5">
        <f t="shared" si="1"/>
        <v>336.96000000000004</v>
      </c>
      <c r="H21" s="2"/>
      <c r="I21" s="5">
        <f t="shared" si="2"/>
        <v>0</v>
      </c>
      <c r="J21" s="1"/>
      <c r="K21" s="1"/>
    </row>
    <row r="22" spans="1:11" ht="39.9" customHeight="1" x14ac:dyDescent="0.5">
      <c r="A22" s="4" t="s">
        <v>5</v>
      </c>
      <c r="B22" s="4" t="s">
        <v>12</v>
      </c>
      <c r="C22" s="4">
        <v>2.4</v>
      </c>
      <c r="D22" s="4">
        <v>3.6</v>
      </c>
      <c r="E22" s="4">
        <f t="shared" si="0"/>
        <v>8.64</v>
      </c>
      <c r="F22" s="3">
        <v>78</v>
      </c>
      <c r="G22" s="5">
        <f t="shared" si="1"/>
        <v>673.92000000000007</v>
      </c>
      <c r="H22" s="2"/>
      <c r="I22" s="5">
        <f t="shared" si="2"/>
        <v>0</v>
      </c>
      <c r="J22" s="1"/>
      <c r="K22" s="1"/>
    </row>
    <row r="23" spans="1:11" ht="39.9" customHeight="1" x14ac:dyDescent="0.5">
      <c r="A23" s="4" t="s">
        <v>5</v>
      </c>
      <c r="B23" s="4" t="s">
        <v>12</v>
      </c>
      <c r="C23" s="4">
        <v>2.4</v>
      </c>
      <c r="D23" s="4">
        <v>3.21</v>
      </c>
      <c r="E23" s="4">
        <f t="shared" ref="E23" si="15">(C23*D23)</f>
        <v>7.7039999999999997</v>
      </c>
      <c r="F23" s="3">
        <v>78</v>
      </c>
      <c r="G23" s="5">
        <f t="shared" ref="G23" si="16">E23*F23</f>
        <v>600.91200000000003</v>
      </c>
      <c r="H23" s="2"/>
      <c r="I23" s="5">
        <f t="shared" ref="I23" si="17">H23*G23</f>
        <v>0</v>
      </c>
      <c r="J23" s="1"/>
      <c r="K23" s="1"/>
    </row>
    <row r="24" spans="1:11" ht="39.6" customHeight="1" x14ac:dyDescent="0.5">
      <c r="A24" s="4" t="s">
        <v>5</v>
      </c>
      <c r="B24" s="4" t="s">
        <v>17</v>
      </c>
      <c r="C24" s="4">
        <v>2.4</v>
      </c>
      <c r="D24" s="4">
        <v>3.6</v>
      </c>
      <c r="E24" s="4">
        <f t="shared" si="0"/>
        <v>8.64</v>
      </c>
      <c r="F24" s="3">
        <v>98</v>
      </c>
      <c r="G24" s="5">
        <f t="shared" si="1"/>
        <v>846.72</v>
      </c>
      <c r="H24" s="2"/>
      <c r="I24" s="5">
        <f t="shared" si="2"/>
        <v>0</v>
      </c>
      <c r="J24" s="1"/>
      <c r="K24" s="1"/>
    </row>
    <row r="25" spans="1:11" ht="39.6" customHeight="1" x14ac:dyDescent="0.5">
      <c r="A25" s="4" t="s">
        <v>5</v>
      </c>
      <c r="B25" s="4" t="s">
        <v>17</v>
      </c>
      <c r="C25" s="4">
        <v>2.2000000000000002</v>
      </c>
      <c r="D25" s="4">
        <v>1.605</v>
      </c>
      <c r="E25" s="4">
        <f t="shared" ref="E25:E26" si="18">(C25*D25)</f>
        <v>3.5310000000000001</v>
      </c>
      <c r="F25" s="3">
        <v>98</v>
      </c>
      <c r="G25" s="5">
        <f t="shared" ref="G25:G26" si="19">E25*F25</f>
        <v>346.03800000000001</v>
      </c>
      <c r="H25" s="2"/>
      <c r="I25" s="5">
        <f t="shared" ref="I25:I26" si="20">H25*G25</f>
        <v>0</v>
      </c>
      <c r="J25" s="1"/>
      <c r="K25" s="1"/>
    </row>
    <row r="26" spans="1:11" ht="39.9" customHeight="1" x14ac:dyDescent="0.5">
      <c r="A26" s="4" t="s">
        <v>5</v>
      </c>
      <c r="B26" s="4" t="s">
        <v>17</v>
      </c>
      <c r="C26" s="4">
        <v>2.4</v>
      </c>
      <c r="D26" s="4">
        <v>3.21</v>
      </c>
      <c r="E26" s="4">
        <f t="shared" si="18"/>
        <v>7.7039999999999997</v>
      </c>
      <c r="F26" s="3">
        <v>98</v>
      </c>
      <c r="G26" s="5">
        <f t="shared" si="19"/>
        <v>754.99199999999996</v>
      </c>
      <c r="H26" s="2"/>
      <c r="I26" s="5">
        <f t="shared" si="20"/>
        <v>0</v>
      </c>
      <c r="J26" s="1"/>
      <c r="K26" s="1"/>
    </row>
    <row r="27" spans="1:11" ht="39.9" customHeight="1" x14ac:dyDescent="0.5">
      <c r="A27" s="4" t="s">
        <v>5</v>
      </c>
      <c r="B27" s="4" t="s">
        <v>17</v>
      </c>
      <c r="C27" s="4">
        <v>2.4</v>
      </c>
      <c r="D27" s="4">
        <v>1.605</v>
      </c>
      <c r="E27" s="4">
        <f t="shared" si="0"/>
        <v>3.8519999999999999</v>
      </c>
      <c r="F27" s="3">
        <v>98</v>
      </c>
      <c r="G27" s="5">
        <f t="shared" si="1"/>
        <v>377.49599999999998</v>
      </c>
      <c r="H27" s="2"/>
      <c r="I27" s="5">
        <f t="shared" si="2"/>
        <v>0</v>
      </c>
      <c r="J27" s="1"/>
      <c r="K27" s="1"/>
    </row>
    <row r="28" spans="1:11" ht="39.9" customHeight="1" x14ac:dyDescent="0.5">
      <c r="A28" s="4" t="s">
        <v>48</v>
      </c>
      <c r="B28" s="4" t="s">
        <v>7</v>
      </c>
      <c r="C28" s="4">
        <v>2.4</v>
      </c>
      <c r="D28" s="4">
        <v>1.605</v>
      </c>
      <c r="E28" s="4">
        <f t="shared" si="0"/>
        <v>3.8519999999999999</v>
      </c>
      <c r="F28" s="5">
        <v>39</v>
      </c>
      <c r="G28" s="5">
        <f t="shared" si="1"/>
        <v>150.22800000000001</v>
      </c>
      <c r="H28" s="2"/>
      <c r="I28" s="5">
        <f t="shared" si="2"/>
        <v>0</v>
      </c>
      <c r="J28" s="1"/>
      <c r="K28" s="1"/>
    </row>
    <row r="29" spans="1:11" ht="39.9" customHeight="1" x14ac:dyDescent="0.5">
      <c r="A29" s="4" t="s">
        <v>25</v>
      </c>
      <c r="B29" s="4" t="s">
        <v>7</v>
      </c>
      <c r="C29" s="4">
        <v>1.83</v>
      </c>
      <c r="D29" s="4">
        <v>2.44</v>
      </c>
      <c r="E29" s="4">
        <f t="shared" si="0"/>
        <v>4.4652000000000003</v>
      </c>
      <c r="F29" s="5">
        <v>50.5</v>
      </c>
      <c r="G29" s="5">
        <f t="shared" si="1"/>
        <v>225.49260000000001</v>
      </c>
      <c r="H29" s="2"/>
      <c r="I29" s="5">
        <f t="shared" si="2"/>
        <v>0</v>
      </c>
      <c r="J29" s="1"/>
      <c r="K29" s="1"/>
    </row>
    <row r="30" spans="1:11" ht="38.4" customHeight="1" x14ac:dyDescent="0.5">
      <c r="A30" s="4" t="s">
        <v>9</v>
      </c>
      <c r="B30" s="4" t="s">
        <v>6</v>
      </c>
      <c r="C30" s="4">
        <v>2.4</v>
      </c>
      <c r="D30" s="4">
        <v>3.21</v>
      </c>
      <c r="E30" s="4">
        <f t="shared" si="0"/>
        <v>7.7039999999999997</v>
      </c>
      <c r="F30" s="3">
        <v>51.5</v>
      </c>
      <c r="G30" s="5">
        <f t="shared" si="1"/>
        <v>396.75599999999997</v>
      </c>
      <c r="H30" s="2"/>
      <c r="I30" s="5">
        <f t="shared" si="2"/>
        <v>0</v>
      </c>
      <c r="J30" s="1"/>
      <c r="K30" s="1"/>
    </row>
    <row r="31" spans="1:11" ht="39" customHeight="1" x14ac:dyDescent="0.5">
      <c r="A31" s="4" t="s">
        <v>9</v>
      </c>
      <c r="B31" s="4" t="s">
        <v>6</v>
      </c>
      <c r="C31" s="4">
        <v>2.4</v>
      </c>
      <c r="D31" s="4">
        <v>1.605</v>
      </c>
      <c r="E31" s="4">
        <f t="shared" si="0"/>
        <v>3.8519999999999999</v>
      </c>
      <c r="F31" s="3">
        <v>51.5</v>
      </c>
      <c r="G31" s="5">
        <f t="shared" si="1"/>
        <v>198.37799999999999</v>
      </c>
      <c r="H31" s="2"/>
      <c r="I31" s="5">
        <f t="shared" si="2"/>
        <v>0</v>
      </c>
      <c r="J31" s="1"/>
      <c r="K31" s="1"/>
    </row>
    <row r="32" spans="1:11" ht="39" customHeight="1" x14ac:dyDescent="0.5">
      <c r="A32" s="4" t="s">
        <v>9</v>
      </c>
      <c r="B32" s="4" t="s">
        <v>16</v>
      </c>
      <c r="C32" s="4">
        <v>2.4</v>
      </c>
      <c r="D32" s="4">
        <v>1.605</v>
      </c>
      <c r="E32" s="4">
        <f t="shared" si="0"/>
        <v>3.8519999999999999</v>
      </c>
      <c r="F32" s="3">
        <v>62</v>
      </c>
      <c r="G32" s="5">
        <f t="shared" si="1"/>
        <v>238.82399999999998</v>
      </c>
      <c r="H32" s="2"/>
      <c r="I32" s="5">
        <f t="shared" si="2"/>
        <v>0</v>
      </c>
      <c r="J32" s="1"/>
      <c r="K32" s="1"/>
    </row>
    <row r="33" spans="1:11" ht="39.9" customHeight="1" x14ac:dyDescent="0.5">
      <c r="A33" s="4" t="s">
        <v>9</v>
      </c>
      <c r="B33" s="4" t="s">
        <v>8</v>
      </c>
      <c r="C33" s="4">
        <v>2.4</v>
      </c>
      <c r="D33" s="4">
        <v>3.21</v>
      </c>
      <c r="E33" s="4">
        <f t="shared" si="0"/>
        <v>7.7039999999999997</v>
      </c>
      <c r="F33" s="3">
        <v>72.5</v>
      </c>
      <c r="G33" s="5">
        <f t="shared" si="1"/>
        <v>558.54</v>
      </c>
      <c r="H33" s="2"/>
      <c r="I33" s="5">
        <f t="shared" si="2"/>
        <v>0</v>
      </c>
      <c r="J33" s="1"/>
      <c r="K33" s="1"/>
    </row>
    <row r="34" spans="1:11" ht="39.9" customHeight="1" x14ac:dyDescent="0.5">
      <c r="A34" s="4" t="s">
        <v>9</v>
      </c>
      <c r="B34" s="4" t="s">
        <v>8</v>
      </c>
      <c r="C34" s="4">
        <v>2.4</v>
      </c>
      <c r="D34" s="4">
        <v>1.605</v>
      </c>
      <c r="E34" s="4">
        <f t="shared" si="0"/>
        <v>3.8519999999999999</v>
      </c>
      <c r="F34" s="3">
        <v>72.5</v>
      </c>
      <c r="G34" s="5">
        <f t="shared" si="1"/>
        <v>279.27</v>
      </c>
      <c r="H34" s="2"/>
      <c r="I34" s="5">
        <f t="shared" si="2"/>
        <v>0</v>
      </c>
      <c r="J34" s="1"/>
      <c r="K34" s="1"/>
    </row>
    <row r="35" spans="1:11" ht="39.9" customHeight="1" x14ac:dyDescent="0.5">
      <c r="A35" s="4" t="s">
        <v>9</v>
      </c>
      <c r="B35" s="4" t="s">
        <v>12</v>
      </c>
      <c r="C35" s="4">
        <v>2.4</v>
      </c>
      <c r="D35" s="4">
        <v>3.6</v>
      </c>
      <c r="E35" s="4">
        <f t="shared" si="0"/>
        <v>8.64</v>
      </c>
      <c r="F35" s="3">
        <v>98</v>
      </c>
      <c r="G35" s="5">
        <f t="shared" si="1"/>
        <v>846.72</v>
      </c>
      <c r="H35" s="2"/>
      <c r="I35" s="5">
        <f t="shared" si="2"/>
        <v>0</v>
      </c>
      <c r="J35" s="1"/>
      <c r="K35" s="1"/>
    </row>
    <row r="36" spans="1:11" ht="39.9" customHeight="1" x14ac:dyDescent="0.5">
      <c r="A36" s="4" t="s">
        <v>9</v>
      </c>
      <c r="B36" s="4" t="s">
        <v>12</v>
      </c>
      <c r="C36" s="4">
        <v>2.4</v>
      </c>
      <c r="D36" s="4">
        <v>1.605</v>
      </c>
      <c r="E36" s="4">
        <f t="shared" si="0"/>
        <v>3.8519999999999999</v>
      </c>
      <c r="F36" s="3">
        <v>98</v>
      </c>
      <c r="G36" s="5">
        <f t="shared" si="1"/>
        <v>377.49599999999998</v>
      </c>
      <c r="H36" s="2"/>
      <c r="I36" s="5">
        <f t="shared" si="2"/>
        <v>0</v>
      </c>
      <c r="J36" s="1"/>
      <c r="K36" s="1"/>
    </row>
    <row r="37" spans="1:11" ht="39.9" customHeight="1" x14ac:dyDescent="0.5">
      <c r="A37" s="4" t="s">
        <v>9</v>
      </c>
      <c r="B37" s="4" t="s">
        <v>17</v>
      </c>
      <c r="C37" s="4">
        <v>2.4</v>
      </c>
      <c r="D37" s="4">
        <v>3.6</v>
      </c>
      <c r="E37" s="4">
        <f t="shared" si="0"/>
        <v>8.64</v>
      </c>
      <c r="F37" s="3">
        <v>125</v>
      </c>
      <c r="G37" s="5">
        <f t="shared" si="1"/>
        <v>1080</v>
      </c>
      <c r="H37" s="2"/>
      <c r="I37" s="5">
        <f t="shared" si="2"/>
        <v>0</v>
      </c>
      <c r="J37" s="1"/>
      <c r="K37" s="1"/>
    </row>
    <row r="38" spans="1:11" ht="39" customHeight="1" x14ac:dyDescent="0.5">
      <c r="A38" s="4" t="s">
        <v>39</v>
      </c>
      <c r="B38" s="4" t="s">
        <v>6</v>
      </c>
      <c r="C38" s="4">
        <v>2.4</v>
      </c>
      <c r="D38" s="4">
        <v>1.605</v>
      </c>
      <c r="E38" s="4">
        <f t="shared" si="0"/>
        <v>3.8519999999999999</v>
      </c>
      <c r="F38" s="3">
        <v>51.5</v>
      </c>
      <c r="G38" s="5">
        <f t="shared" si="1"/>
        <v>198.37799999999999</v>
      </c>
      <c r="H38" s="2"/>
      <c r="I38" s="5">
        <f t="shared" si="2"/>
        <v>0</v>
      </c>
      <c r="J38" s="1"/>
      <c r="K38" s="1"/>
    </row>
    <row r="39" spans="1:11" ht="39" customHeight="1" x14ac:dyDescent="0.5">
      <c r="A39" s="4" t="s">
        <v>39</v>
      </c>
      <c r="B39" s="4" t="s">
        <v>6</v>
      </c>
      <c r="C39" s="4">
        <v>2.4</v>
      </c>
      <c r="D39" s="4">
        <v>3.21</v>
      </c>
      <c r="E39" s="4">
        <f t="shared" ref="E39:E41" si="21">(C39*D39)</f>
        <v>7.7039999999999997</v>
      </c>
      <c r="F39" s="3">
        <v>51.5</v>
      </c>
      <c r="G39" s="5">
        <f t="shared" ref="G39:G41" si="22">E39*F39</f>
        <v>396.75599999999997</v>
      </c>
      <c r="H39" s="2"/>
      <c r="I39" s="5">
        <f t="shared" ref="I39:I41" si="23">H39*G39</f>
        <v>0</v>
      </c>
      <c r="J39" s="1"/>
      <c r="K39" s="1"/>
    </row>
    <row r="40" spans="1:11" ht="39" customHeight="1" x14ac:dyDescent="0.5">
      <c r="A40" s="4" t="s">
        <v>39</v>
      </c>
      <c r="B40" s="4" t="s">
        <v>16</v>
      </c>
      <c r="C40" s="4">
        <v>2.4</v>
      </c>
      <c r="D40" s="4">
        <v>1.605</v>
      </c>
      <c r="E40" s="4">
        <f t="shared" si="21"/>
        <v>3.8519999999999999</v>
      </c>
      <c r="F40" s="3">
        <v>62</v>
      </c>
      <c r="G40" s="5">
        <f t="shared" si="22"/>
        <v>238.82399999999998</v>
      </c>
      <c r="H40" s="2"/>
      <c r="I40" s="5">
        <f t="shared" si="23"/>
        <v>0</v>
      </c>
      <c r="J40" s="1"/>
      <c r="K40" s="1"/>
    </row>
    <row r="41" spans="1:11" ht="39" customHeight="1" x14ac:dyDescent="0.5">
      <c r="A41" s="4" t="s">
        <v>39</v>
      </c>
      <c r="B41" s="4" t="s">
        <v>8</v>
      </c>
      <c r="C41" s="4">
        <v>2.2000000000000002</v>
      </c>
      <c r="D41" s="4">
        <v>1.605</v>
      </c>
      <c r="E41" s="4">
        <f t="shared" si="21"/>
        <v>3.5310000000000001</v>
      </c>
      <c r="F41" s="3">
        <v>72.5</v>
      </c>
      <c r="G41" s="5">
        <f t="shared" si="22"/>
        <v>255.9975</v>
      </c>
      <c r="H41" s="2"/>
      <c r="I41" s="5">
        <f t="shared" si="23"/>
        <v>0</v>
      </c>
      <c r="J41" s="1"/>
      <c r="K41" s="1"/>
    </row>
    <row r="42" spans="1:11" ht="39.9" customHeight="1" x14ac:dyDescent="0.5">
      <c r="A42" s="4" t="s">
        <v>39</v>
      </c>
      <c r="B42" s="4" t="s">
        <v>12</v>
      </c>
      <c r="C42" s="4">
        <v>2.4</v>
      </c>
      <c r="D42" s="4">
        <v>1.605</v>
      </c>
      <c r="E42" s="4">
        <f t="shared" si="0"/>
        <v>3.8519999999999999</v>
      </c>
      <c r="F42" s="3">
        <v>98</v>
      </c>
      <c r="G42" s="5">
        <f t="shared" si="1"/>
        <v>377.49599999999998</v>
      </c>
      <c r="H42" s="2"/>
      <c r="I42" s="5">
        <f t="shared" si="2"/>
        <v>0</v>
      </c>
      <c r="J42" s="1"/>
      <c r="K42" s="1"/>
    </row>
    <row r="43" spans="1:11" ht="39.9" customHeight="1" x14ac:dyDescent="0.5">
      <c r="A43" s="4" t="s">
        <v>39</v>
      </c>
      <c r="B43" s="4" t="s">
        <v>12</v>
      </c>
      <c r="C43" s="4">
        <v>2.4</v>
      </c>
      <c r="D43" s="4">
        <v>3.6</v>
      </c>
      <c r="E43" s="4">
        <f t="shared" si="0"/>
        <v>8.64</v>
      </c>
      <c r="F43" s="3">
        <v>98</v>
      </c>
      <c r="G43" s="5">
        <f t="shared" si="1"/>
        <v>846.72</v>
      </c>
      <c r="H43" s="2"/>
      <c r="I43" s="5">
        <f t="shared" si="2"/>
        <v>0</v>
      </c>
      <c r="J43" s="1"/>
      <c r="K43" s="1"/>
    </row>
    <row r="44" spans="1:11" ht="39.9" customHeight="1" x14ac:dyDescent="0.5">
      <c r="A44" s="4" t="s">
        <v>39</v>
      </c>
      <c r="B44" s="4" t="s">
        <v>17</v>
      </c>
      <c r="C44" s="4">
        <v>2.4</v>
      </c>
      <c r="D44" s="4">
        <v>3.21</v>
      </c>
      <c r="E44" s="4">
        <f t="shared" ref="E44" si="24">(C44*D44)</f>
        <v>7.7039999999999997</v>
      </c>
      <c r="F44" s="3">
        <v>125</v>
      </c>
      <c r="G44" s="5">
        <f t="shared" ref="G44" si="25">E44*F44</f>
        <v>963</v>
      </c>
      <c r="H44" s="2"/>
      <c r="I44" s="5">
        <f t="shared" ref="I44" si="26">H44*G44</f>
        <v>0</v>
      </c>
      <c r="J44" s="1"/>
      <c r="K44" s="1"/>
    </row>
    <row r="45" spans="1:11" ht="39.9" customHeight="1" x14ac:dyDescent="0.5">
      <c r="A45" s="4" t="s">
        <v>32</v>
      </c>
      <c r="B45" s="4" t="s">
        <v>12</v>
      </c>
      <c r="C45" s="4">
        <v>2.4</v>
      </c>
      <c r="D45" s="4">
        <v>3.6</v>
      </c>
      <c r="E45" s="4">
        <f t="shared" si="0"/>
        <v>8.64</v>
      </c>
      <c r="F45" s="3">
        <v>182</v>
      </c>
      <c r="G45" s="5">
        <f t="shared" si="1"/>
        <v>1572.48</v>
      </c>
      <c r="H45" s="2"/>
      <c r="I45" s="5">
        <f t="shared" si="2"/>
        <v>0</v>
      </c>
      <c r="J45" s="1"/>
      <c r="K45" s="1"/>
    </row>
    <row r="46" spans="1:11" ht="39.9" customHeight="1" x14ac:dyDescent="0.5">
      <c r="A46" s="4" t="s">
        <v>31</v>
      </c>
      <c r="B46" s="4" t="s">
        <v>28</v>
      </c>
      <c r="C46" s="4">
        <v>2.2000000000000002</v>
      </c>
      <c r="D46" s="4">
        <v>1.605</v>
      </c>
      <c r="E46" s="4">
        <f t="shared" si="0"/>
        <v>3.5310000000000001</v>
      </c>
      <c r="F46" s="3">
        <v>49</v>
      </c>
      <c r="G46" s="5">
        <f t="shared" si="1"/>
        <v>173.01900000000001</v>
      </c>
      <c r="H46" s="2"/>
      <c r="I46" s="5">
        <f t="shared" si="2"/>
        <v>0</v>
      </c>
      <c r="J46" s="1"/>
      <c r="K46" s="1"/>
    </row>
    <row r="47" spans="1:11" ht="39.9" customHeight="1" x14ac:dyDescent="0.5">
      <c r="A47" s="4" t="s">
        <v>49</v>
      </c>
      <c r="B47" s="4" t="s">
        <v>7</v>
      </c>
      <c r="C47" s="4">
        <v>2.4</v>
      </c>
      <c r="D47" s="4">
        <v>1.605</v>
      </c>
      <c r="E47" s="4">
        <f t="shared" si="0"/>
        <v>3.8519999999999999</v>
      </c>
      <c r="F47" s="3">
        <v>53.5</v>
      </c>
      <c r="G47" s="5">
        <f t="shared" si="1"/>
        <v>206.08199999999999</v>
      </c>
      <c r="H47" s="2"/>
      <c r="I47" s="5">
        <f t="shared" si="2"/>
        <v>0</v>
      </c>
      <c r="J47" s="1"/>
      <c r="K47" s="1"/>
    </row>
    <row r="48" spans="1:11" ht="39.9" customHeight="1" x14ac:dyDescent="0.5">
      <c r="A48" s="4" t="s">
        <v>49</v>
      </c>
      <c r="B48" s="4" t="s">
        <v>7</v>
      </c>
      <c r="C48" s="4">
        <v>2.4</v>
      </c>
      <c r="D48" s="4">
        <v>3.21</v>
      </c>
      <c r="E48" s="4">
        <f t="shared" si="0"/>
        <v>7.7039999999999997</v>
      </c>
      <c r="F48" s="3">
        <v>53.5</v>
      </c>
      <c r="G48" s="5">
        <f t="shared" si="1"/>
        <v>412.16399999999999</v>
      </c>
      <c r="H48" s="2"/>
      <c r="I48" s="5">
        <f t="shared" si="2"/>
        <v>0</v>
      </c>
      <c r="J48" s="1"/>
      <c r="K48" s="1"/>
    </row>
    <row r="49" spans="1:11" ht="39.9" customHeight="1" x14ac:dyDescent="0.5">
      <c r="A49" s="4" t="s">
        <v>49</v>
      </c>
      <c r="B49" s="4" t="s">
        <v>7</v>
      </c>
      <c r="C49" s="4">
        <v>2.4</v>
      </c>
      <c r="D49" s="4">
        <v>1.605</v>
      </c>
      <c r="E49" s="4">
        <f t="shared" si="0"/>
        <v>3.8519999999999999</v>
      </c>
      <c r="F49" s="3">
        <v>53.5</v>
      </c>
      <c r="G49" s="5">
        <f t="shared" ref="G49:G81" si="27">E49*F49</f>
        <v>206.08199999999999</v>
      </c>
      <c r="H49" s="2"/>
      <c r="I49" s="5">
        <f t="shared" ref="I49:I81" si="28">H49*G49</f>
        <v>0</v>
      </c>
      <c r="J49" s="1"/>
      <c r="K49" s="1"/>
    </row>
    <row r="50" spans="1:11" ht="39.9" customHeight="1" x14ac:dyDescent="0.5">
      <c r="A50" s="4" t="s">
        <v>40</v>
      </c>
      <c r="B50" s="4" t="s">
        <v>7</v>
      </c>
      <c r="C50" s="4">
        <v>2.2000000000000002</v>
      </c>
      <c r="D50" s="4">
        <v>1.605</v>
      </c>
      <c r="E50" s="4">
        <f t="shared" ref="E50:E81" si="29">(C50*D50)</f>
        <v>3.5310000000000001</v>
      </c>
      <c r="F50" s="3">
        <v>59.5</v>
      </c>
      <c r="G50" s="5">
        <f t="shared" si="27"/>
        <v>210.09450000000001</v>
      </c>
      <c r="H50" s="2"/>
      <c r="I50" s="5">
        <f t="shared" si="28"/>
        <v>0</v>
      </c>
      <c r="J50" s="1"/>
      <c r="K50" s="1"/>
    </row>
    <row r="51" spans="1:11" ht="36.6" customHeight="1" x14ac:dyDescent="0.5">
      <c r="A51" s="4" t="s">
        <v>40</v>
      </c>
      <c r="B51" s="4" t="s">
        <v>7</v>
      </c>
      <c r="C51" s="4">
        <v>2.4</v>
      </c>
      <c r="D51" s="4">
        <v>1.605</v>
      </c>
      <c r="E51" s="4">
        <f t="shared" si="29"/>
        <v>3.8519999999999999</v>
      </c>
      <c r="F51" s="3">
        <v>59.5</v>
      </c>
      <c r="G51" s="5">
        <f t="shared" si="27"/>
        <v>229.19399999999999</v>
      </c>
      <c r="H51" s="2"/>
      <c r="I51" s="5">
        <f t="shared" si="28"/>
        <v>0</v>
      </c>
      <c r="J51" s="1"/>
      <c r="K51" s="1"/>
    </row>
    <row r="52" spans="1:11" ht="39.9" customHeight="1" x14ac:dyDescent="0.5">
      <c r="A52" s="4" t="s">
        <v>40</v>
      </c>
      <c r="B52" s="4" t="s">
        <v>7</v>
      </c>
      <c r="C52" s="4">
        <v>2.4</v>
      </c>
      <c r="D52" s="4">
        <v>3.21</v>
      </c>
      <c r="E52" s="4">
        <f t="shared" si="29"/>
        <v>7.7039999999999997</v>
      </c>
      <c r="F52" s="3">
        <v>59.5</v>
      </c>
      <c r="G52" s="5">
        <f t="shared" si="27"/>
        <v>458.38799999999998</v>
      </c>
      <c r="H52" s="2"/>
      <c r="I52" s="5">
        <f t="shared" si="28"/>
        <v>0</v>
      </c>
      <c r="J52" s="1"/>
      <c r="K52" s="1"/>
    </row>
    <row r="53" spans="1:11" ht="39.9" customHeight="1" x14ac:dyDescent="0.5">
      <c r="A53" s="4" t="s">
        <v>41</v>
      </c>
      <c r="B53" s="4" t="s">
        <v>7</v>
      </c>
      <c r="C53" s="4">
        <v>2.4</v>
      </c>
      <c r="D53" s="4">
        <v>3.21</v>
      </c>
      <c r="E53" s="4">
        <f t="shared" si="29"/>
        <v>7.7039999999999997</v>
      </c>
      <c r="F53" s="3">
        <v>72.900000000000006</v>
      </c>
      <c r="G53" s="5">
        <f t="shared" si="27"/>
        <v>561.62160000000006</v>
      </c>
      <c r="H53" s="2"/>
      <c r="I53" s="5">
        <f t="shared" si="28"/>
        <v>0</v>
      </c>
      <c r="J53" s="1"/>
      <c r="K53" s="1"/>
    </row>
    <row r="54" spans="1:11" ht="39.9" customHeight="1" x14ac:dyDescent="0.5">
      <c r="A54" s="4" t="s">
        <v>41</v>
      </c>
      <c r="B54" s="4" t="s">
        <v>7</v>
      </c>
      <c r="C54" s="4">
        <v>2.4</v>
      </c>
      <c r="D54" s="4">
        <v>1.605</v>
      </c>
      <c r="E54" s="4">
        <f t="shared" si="29"/>
        <v>3.8519999999999999</v>
      </c>
      <c r="F54" s="3">
        <v>72.900000000000006</v>
      </c>
      <c r="G54" s="5">
        <f t="shared" si="27"/>
        <v>280.81080000000003</v>
      </c>
      <c r="H54" s="2"/>
      <c r="I54" s="5">
        <f t="shared" si="28"/>
        <v>0</v>
      </c>
      <c r="J54" s="1"/>
      <c r="K54" s="1"/>
    </row>
    <row r="55" spans="1:11" ht="39.6" customHeight="1" x14ac:dyDescent="0.5">
      <c r="A55" s="4" t="s">
        <v>40</v>
      </c>
      <c r="B55" s="4" t="s">
        <v>6</v>
      </c>
      <c r="C55" s="4">
        <v>2.4</v>
      </c>
      <c r="D55" s="4">
        <v>3.21</v>
      </c>
      <c r="E55" s="4">
        <f t="shared" si="29"/>
        <v>7.7039999999999997</v>
      </c>
      <c r="F55" s="3">
        <v>78</v>
      </c>
      <c r="G55" s="5">
        <f t="shared" si="27"/>
        <v>600.91200000000003</v>
      </c>
      <c r="H55" s="2" t="s">
        <v>87</v>
      </c>
      <c r="I55" s="5">
        <f t="shared" si="28"/>
        <v>6009.1200000000008</v>
      </c>
      <c r="J55" s="1"/>
      <c r="K55" s="1"/>
    </row>
    <row r="56" spans="1:11" ht="39.9" customHeight="1" x14ac:dyDescent="0.5">
      <c r="A56" s="4" t="s">
        <v>40</v>
      </c>
      <c r="B56" s="4" t="s">
        <v>6</v>
      </c>
      <c r="C56" s="4">
        <v>2.4</v>
      </c>
      <c r="D56" s="4">
        <v>1.605</v>
      </c>
      <c r="E56" s="4">
        <f t="shared" si="29"/>
        <v>3.8519999999999999</v>
      </c>
      <c r="F56" s="3">
        <v>78.5</v>
      </c>
      <c r="G56" s="5">
        <f t="shared" si="27"/>
        <v>302.38200000000001</v>
      </c>
      <c r="H56" s="2"/>
      <c r="I56" s="5">
        <f t="shared" si="28"/>
        <v>0</v>
      </c>
      <c r="J56" s="1"/>
      <c r="K56" s="1"/>
    </row>
    <row r="57" spans="1:11" ht="39.9" customHeight="1" x14ac:dyDescent="0.5">
      <c r="A57" s="4" t="s">
        <v>42</v>
      </c>
      <c r="B57" s="4" t="s">
        <v>6</v>
      </c>
      <c r="C57" s="4">
        <v>2.4</v>
      </c>
      <c r="D57" s="4">
        <v>3.21</v>
      </c>
      <c r="E57" s="4">
        <f t="shared" si="29"/>
        <v>7.7039999999999997</v>
      </c>
      <c r="F57" s="3">
        <v>185</v>
      </c>
      <c r="G57" s="5">
        <f t="shared" si="27"/>
        <v>1425.24</v>
      </c>
      <c r="H57" s="2"/>
      <c r="I57" s="5">
        <f t="shared" si="28"/>
        <v>0</v>
      </c>
      <c r="J57" s="1"/>
      <c r="K57" s="1"/>
    </row>
    <row r="58" spans="1:11" ht="39.9" customHeight="1" x14ac:dyDescent="0.5">
      <c r="A58" s="4" t="s">
        <v>42</v>
      </c>
      <c r="B58" s="4" t="s">
        <v>6</v>
      </c>
      <c r="C58" s="4">
        <v>2.4</v>
      </c>
      <c r="D58" s="4">
        <v>1.605</v>
      </c>
      <c r="E58" s="4">
        <f t="shared" si="29"/>
        <v>3.8519999999999999</v>
      </c>
      <c r="F58" s="3">
        <v>185</v>
      </c>
      <c r="G58" s="5">
        <f t="shared" si="27"/>
        <v>712.62</v>
      </c>
      <c r="H58" s="2"/>
      <c r="I58" s="5">
        <f t="shared" si="28"/>
        <v>0</v>
      </c>
      <c r="J58" s="1"/>
      <c r="K58" s="1"/>
    </row>
    <row r="59" spans="1:11" ht="39.9" customHeight="1" x14ac:dyDescent="0.5">
      <c r="A59" s="4" t="s">
        <v>37</v>
      </c>
      <c r="B59" s="4" t="s">
        <v>6</v>
      </c>
      <c r="C59" s="4">
        <v>2.4</v>
      </c>
      <c r="D59" s="4">
        <v>3.21</v>
      </c>
      <c r="E59" s="4">
        <f t="shared" si="29"/>
        <v>7.7039999999999997</v>
      </c>
      <c r="F59" s="3">
        <v>100</v>
      </c>
      <c r="G59" s="5">
        <f t="shared" si="27"/>
        <v>770.4</v>
      </c>
      <c r="H59" s="2"/>
      <c r="I59" s="5">
        <f t="shared" si="28"/>
        <v>0</v>
      </c>
      <c r="J59" s="1"/>
      <c r="K59" s="1"/>
    </row>
    <row r="60" spans="1:11" ht="39.9" customHeight="1" x14ac:dyDescent="0.5">
      <c r="A60" s="4" t="s">
        <v>41</v>
      </c>
      <c r="B60" s="4" t="s">
        <v>6</v>
      </c>
      <c r="C60" s="4">
        <v>2.4</v>
      </c>
      <c r="D60" s="4">
        <v>3.21</v>
      </c>
      <c r="E60" s="4">
        <f t="shared" si="29"/>
        <v>7.7039999999999997</v>
      </c>
      <c r="F60" s="3">
        <v>86</v>
      </c>
      <c r="G60" s="5">
        <f t="shared" si="27"/>
        <v>662.54399999999998</v>
      </c>
      <c r="H60" s="2"/>
      <c r="I60" s="5">
        <f t="shared" si="28"/>
        <v>0</v>
      </c>
      <c r="J60" s="1"/>
      <c r="K60" s="1"/>
    </row>
    <row r="61" spans="1:11" ht="39.9" customHeight="1" x14ac:dyDescent="0.5">
      <c r="A61" s="4" t="s">
        <v>41</v>
      </c>
      <c r="B61" s="4" t="s">
        <v>6</v>
      </c>
      <c r="C61" s="4">
        <v>2.4</v>
      </c>
      <c r="D61" s="4">
        <v>3.21</v>
      </c>
      <c r="E61" s="4">
        <f t="shared" ref="E61" si="30">(C61*D61)</f>
        <v>7.7039999999999997</v>
      </c>
      <c r="F61" s="3">
        <v>86</v>
      </c>
      <c r="G61" s="5">
        <f t="shared" ref="G61" si="31">E61*F61</f>
        <v>662.54399999999998</v>
      </c>
      <c r="H61" s="2"/>
      <c r="I61" s="5">
        <f t="shared" ref="I61" si="32">H61*G61</f>
        <v>0</v>
      </c>
      <c r="J61" s="1"/>
      <c r="K61" s="1"/>
    </row>
    <row r="62" spans="1:11" ht="39.6" customHeight="1" x14ac:dyDescent="0.5">
      <c r="A62" s="4" t="s">
        <v>41</v>
      </c>
      <c r="B62" s="4" t="s">
        <v>6</v>
      </c>
      <c r="C62" s="4">
        <v>2.4</v>
      </c>
      <c r="D62" s="4">
        <v>1.605</v>
      </c>
      <c r="E62" s="4">
        <f t="shared" si="29"/>
        <v>3.8519999999999999</v>
      </c>
      <c r="F62" s="3">
        <v>86</v>
      </c>
      <c r="G62" s="5">
        <f t="shared" si="27"/>
        <v>331.27199999999999</v>
      </c>
      <c r="H62" s="2"/>
      <c r="I62" s="5">
        <f t="shared" si="28"/>
        <v>0</v>
      </c>
      <c r="J62" s="1"/>
      <c r="K62" s="1"/>
    </row>
    <row r="63" spans="1:11" ht="39.9" customHeight="1" x14ac:dyDescent="0.5">
      <c r="A63" s="4" t="s">
        <v>40</v>
      </c>
      <c r="B63" s="4" t="s">
        <v>16</v>
      </c>
      <c r="C63" s="4">
        <v>2.4</v>
      </c>
      <c r="D63" s="4">
        <v>3.21</v>
      </c>
      <c r="E63" s="4">
        <f t="shared" si="29"/>
        <v>7.7039999999999997</v>
      </c>
      <c r="F63" s="3">
        <v>105</v>
      </c>
      <c r="G63" s="5">
        <f t="shared" si="27"/>
        <v>808.92</v>
      </c>
      <c r="H63" s="2"/>
      <c r="I63" s="5">
        <f t="shared" si="28"/>
        <v>0</v>
      </c>
      <c r="J63" s="1"/>
      <c r="K63" s="1"/>
    </row>
    <row r="64" spans="1:11" ht="39.9" customHeight="1" x14ac:dyDescent="0.5">
      <c r="A64" s="4" t="s">
        <v>40</v>
      </c>
      <c r="B64" s="4" t="s">
        <v>8</v>
      </c>
      <c r="C64" s="4">
        <v>2.4</v>
      </c>
      <c r="D64" s="4">
        <v>3.21</v>
      </c>
      <c r="E64" s="4">
        <f t="shared" si="29"/>
        <v>7.7039999999999997</v>
      </c>
      <c r="F64" s="3">
        <v>125</v>
      </c>
      <c r="G64" s="5">
        <f t="shared" si="27"/>
        <v>963</v>
      </c>
      <c r="H64" s="2"/>
      <c r="I64" s="5">
        <f t="shared" si="28"/>
        <v>0</v>
      </c>
      <c r="J64" s="1"/>
      <c r="K64" s="1"/>
    </row>
    <row r="65" spans="1:11" ht="39.9" customHeight="1" x14ac:dyDescent="0.5">
      <c r="A65" s="4" t="s">
        <v>40</v>
      </c>
      <c r="B65" s="4" t="s">
        <v>8</v>
      </c>
      <c r="C65" s="4">
        <v>2.4</v>
      </c>
      <c r="D65" s="4">
        <v>1.605</v>
      </c>
      <c r="E65" s="4">
        <f t="shared" ref="E65" si="33">(C65*D65)</f>
        <v>3.8519999999999999</v>
      </c>
      <c r="F65" s="3">
        <v>125</v>
      </c>
      <c r="G65" s="5">
        <f t="shared" ref="G65" si="34">E65*F65</f>
        <v>481.5</v>
      </c>
      <c r="H65" s="2"/>
      <c r="I65" s="5">
        <f t="shared" ref="I65" si="35">H65*G65</f>
        <v>0</v>
      </c>
      <c r="J65" s="1"/>
      <c r="K65" s="1"/>
    </row>
    <row r="66" spans="1:11" ht="39.9" customHeight="1" x14ac:dyDescent="0.5">
      <c r="A66" s="4" t="s">
        <v>18</v>
      </c>
      <c r="B66" s="4" t="s">
        <v>19</v>
      </c>
      <c r="C66" s="4">
        <v>2.4</v>
      </c>
      <c r="D66" s="4">
        <v>1.605</v>
      </c>
      <c r="E66" s="4">
        <f t="shared" si="29"/>
        <v>3.8519999999999999</v>
      </c>
      <c r="F66" s="3">
        <v>113</v>
      </c>
      <c r="G66" s="5">
        <f t="shared" si="27"/>
        <v>435.27600000000001</v>
      </c>
      <c r="H66" s="2"/>
      <c r="I66" s="5">
        <f t="shared" si="28"/>
        <v>0</v>
      </c>
      <c r="J66" s="1"/>
      <c r="K66" s="1"/>
    </row>
    <row r="67" spans="1:11" ht="39.9" customHeight="1" x14ac:dyDescent="0.5">
      <c r="A67" s="4" t="s">
        <v>18</v>
      </c>
      <c r="B67" s="4" t="s">
        <v>19</v>
      </c>
      <c r="C67" s="4">
        <v>2.4</v>
      </c>
      <c r="D67" s="4">
        <v>3.21</v>
      </c>
      <c r="E67" s="4">
        <f t="shared" si="29"/>
        <v>7.7039999999999997</v>
      </c>
      <c r="F67" s="3">
        <v>119</v>
      </c>
      <c r="G67" s="5">
        <f t="shared" si="27"/>
        <v>916.77599999999995</v>
      </c>
      <c r="H67" s="2" t="s">
        <v>86</v>
      </c>
      <c r="I67" s="5">
        <f t="shared" si="28"/>
        <v>2750.328</v>
      </c>
      <c r="J67" s="1"/>
      <c r="K67" s="1"/>
    </row>
    <row r="68" spans="1:11" ht="39.9" customHeight="1" x14ac:dyDescent="0.5">
      <c r="A68" s="4" t="s">
        <v>18</v>
      </c>
      <c r="B68" s="4" t="s">
        <v>20</v>
      </c>
      <c r="C68" s="4">
        <v>2.4</v>
      </c>
      <c r="D68" s="4">
        <v>3.21</v>
      </c>
      <c r="E68" s="4">
        <f t="shared" si="29"/>
        <v>7.7039999999999997</v>
      </c>
      <c r="F68" s="3">
        <v>128</v>
      </c>
      <c r="G68" s="5">
        <f t="shared" si="27"/>
        <v>986.11199999999997</v>
      </c>
      <c r="H68" s="2" t="s">
        <v>84</v>
      </c>
      <c r="I68" s="5">
        <f t="shared" si="28"/>
        <v>1972.2239999999999</v>
      </c>
      <c r="J68" s="1"/>
      <c r="K68" s="1"/>
    </row>
    <row r="69" spans="1:11" ht="39.9" customHeight="1" x14ac:dyDescent="0.5">
      <c r="A69" s="4" t="s">
        <v>18</v>
      </c>
      <c r="B69" s="4" t="s">
        <v>30</v>
      </c>
      <c r="C69" s="4">
        <v>2.4</v>
      </c>
      <c r="D69" s="4">
        <v>3.21</v>
      </c>
      <c r="E69" s="4">
        <f t="shared" si="29"/>
        <v>7.7039999999999997</v>
      </c>
      <c r="F69" s="3">
        <v>165</v>
      </c>
      <c r="G69" s="5">
        <f t="shared" si="27"/>
        <v>1271.1599999999999</v>
      </c>
      <c r="H69" s="2"/>
      <c r="I69" s="5">
        <f t="shared" si="28"/>
        <v>0</v>
      </c>
      <c r="J69" s="1"/>
      <c r="K69" s="1"/>
    </row>
    <row r="70" spans="1:11" ht="39.9" customHeight="1" x14ac:dyDescent="0.5">
      <c r="A70" s="4" t="s">
        <v>38</v>
      </c>
      <c r="B70" s="4" t="s">
        <v>19</v>
      </c>
      <c r="C70" s="4">
        <v>2.4</v>
      </c>
      <c r="D70" s="4">
        <v>3.21</v>
      </c>
      <c r="E70" s="4">
        <f t="shared" si="29"/>
        <v>7.7039999999999997</v>
      </c>
      <c r="F70" s="3">
        <v>159.9</v>
      </c>
      <c r="G70" s="5">
        <f t="shared" si="27"/>
        <v>1231.8696</v>
      </c>
      <c r="H70" s="2"/>
      <c r="I70" s="5">
        <f t="shared" si="28"/>
        <v>0</v>
      </c>
      <c r="J70" s="1"/>
      <c r="K70" s="1"/>
    </row>
    <row r="71" spans="1:11" ht="39.9" customHeight="1" x14ac:dyDescent="0.5">
      <c r="A71" s="4" t="s">
        <v>38</v>
      </c>
      <c r="B71" s="4" t="s">
        <v>20</v>
      </c>
      <c r="C71" s="4">
        <v>2.4</v>
      </c>
      <c r="D71" s="4">
        <v>3.21</v>
      </c>
      <c r="E71" s="4">
        <f t="shared" si="29"/>
        <v>7.7039999999999997</v>
      </c>
      <c r="F71" s="3">
        <v>220</v>
      </c>
      <c r="G71" s="5">
        <f t="shared" si="27"/>
        <v>1694.8799999999999</v>
      </c>
      <c r="H71" s="2"/>
      <c r="I71" s="5">
        <f t="shared" si="28"/>
        <v>0</v>
      </c>
      <c r="J71" s="1"/>
      <c r="K71" s="1"/>
    </row>
    <row r="72" spans="1:11" ht="39.9" customHeight="1" x14ac:dyDescent="0.5">
      <c r="A72" s="4" t="s">
        <v>38</v>
      </c>
      <c r="B72" s="4" t="s">
        <v>30</v>
      </c>
      <c r="C72" s="4">
        <v>2.4</v>
      </c>
      <c r="D72" s="4">
        <v>3.21</v>
      </c>
      <c r="E72" s="4">
        <f t="shared" si="29"/>
        <v>7.7039999999999997</v>
      </c>
      <c r="F72" s="3">
        <v>285</v>
      </c>
      <c r="G72" s="5">
        <f t="shared" si="27"/>
        <v>2195.64</v>
      </c>
      <c r="H72" s="2"/>
      <c r="I72" s="5">
        <f t="shared" si="28"/>
        <v>0</v>
      </c>
      <c r="J72" s="1"/>
      <c r="K72" s="1"/>
    </row>
    <row r="73" spans="1:11" ht="39.6" customHeight="1" x14ac:dyDescent="0.5">
      <c r="A73" s="4" t="s">
        <v>33</v>
      </c>
      <c r="B73" s="4" t="s">
        <v>20</v>
      </c>
      <c r="C73" s="4">
        <v>2.4</v>
      </c>
      <c r="D73" s="4">
        <v>3.21</v>
      </c>
      <c r="E73" s="4">
        <f t="shared" si="29"/>
        <v>7.7039999999999997</v>
      </c>
      <c r="F73" s="3">
        <v>226</v>
      </c>
      <c r="G73" s="5">
        <f t="shared" si="27"/>
        <v>1741.104</v>
      </c>
      <c r="H73" s="7"/>
      <c r="I73" s="3">
        <f t="shared" si="28"/>
        <v>0</v>
      </c>
    </row>
    <row r="74" spans="1:11" ht="39.9" customHeight="1" x14ac:dyDescent="0.5">
      <c r="A74" s="4" t="s">
        <v>32</v>
      </c>
      <c r="B74" s="4" t="s">
        <v>12</v>
      </c>
      <c r="C74" s="4">
        <v>2.4</v>
      </c>
      <c r="D74" s="4">
        <v>3.6</v>
      </c>
      <c r="E74" s="4">
        <f t="shared" si="29"/>
        <v>8.64</v>
      </c>
      <c r="F74" s="3">
        <v>182</v>
      </c>
      <c r="G74" s="5">
        <f t="shared" si="27"/>
        <v>1572.48</v>
      </c>
      <c r="H74" s="2"/>
      <c r="I74" s="5">
        <f t="shared" si="28"/>
        <v>0</v>
      </c>
      <c r="J74" s="1"/>
      <c r="K74" s="1"/>
    </row>
    <row r="75" spans="1:11" ht="39" customHeight="1" x14ac:dyDescent="0.5">
      <c r="A75" s="9" t="s">
        <v>4</v>
      </c>
      <c r="B75" s="9" t="s">
        <v>21</v>
      </c>
      <c r="C75" s="9">
        <v>2.2000000000000002</v>
      </c>
      <c r="D75" s="9">
        <v>1.9</v>
      </c>
      <c r="E75" s="9">
        <f t="shared" si="29"/>
        <v>4.18</v>
      </c>
      <c r="F75" s="10">
        <v>49.5</v>
      </c>
      <c r="G75" s="10">
        <f t="shared" si="27"/>
        <v>206.91</v>
      </c>
      <c r="H75" s="11"/>
      <c r="I75" s="10">
        <f t="shared" si="28"/>
        <v>0</v>
      </c>
      <c r="J75" s="1"/>
      <c r="K75" s="1"/>
    </row>
    <row r="76" spans="1:11" ht="39" customHeight="1" x14ac:dyDescent="0.5">
      <c r="A76" s="9" t="s">
        <v>4</v>
      </c>
      <c r="B76" s="9" t="s">
        <v>21</v>
      </c>
      <c r="C76" s="9">
        <v>2.44</v>
      </c>
      <c r="D76" s="9">
        <v>1.83</v>
      </c>
      <c r="E76" s="9">
        <f t="shared" si="29"/>
        <v>4.4652000000000003</v>
      </c>
      <c r="F76" s="10">
        <v>49.5</v>
      </c>
      <c r="G76" s="10">
        <f t="shared" si="27"/>
        <v>221.0274</v>
      </c>
      <c r="H76" s="11"/>
      <c r="I76" s="10">
        <f t="shared" si="28"/>
        <v>0</v>
      </c>
      <c r="J76" s="1"/>
      <c r="K76" s="1"/>
    </row>
    <row r="77" spans="1:11" ht="39" customHeight="1" x14ac:dyDescent="0.5">
      <c r="A77" s="9" t="s">
        <v>4</v>
      </c>
      <c r="B77" s="9" t="s">
        <v>21</v>
      </c>
      <c r="C77" s="9">
        <v>3.21</v>
      </c>
      <c r="D77" s="9">
        <v>1.9</v>
      </c>
      <c r="E77" s="9">
        <f t="shared" ref="E77" si="36">(C77*D77)</f>
        <v>6.0989999999999993</v>
      </c>
      <c r="F77" s="10">
        <v>49.5</v>
      </c>
      <c r="G77" s="10">
        <f t="shared" ref="G77" si="37">E77*F77</f>
        <v>301.90049999999997</v>
      </c>
      <c r="H77" s="11"/>
      <c r="I77" s="10">
        <f t="shared" ref="I77" si="38">H77*G77</f>
        <v>0</v>
      </c>
      <c r="J77" s="1"/>
      <c r="K77" s="1"/>
    </row>
    <row r="78" spans="1:11" ht="39" customHeight="1" x14ac:dyDescent="0.5">
      <c r="A78" s="9" t="s">
        <v>4</v>
      </c>
      <c r="B78" s="9" t="s">
        <v>21</v>
      </c>
      <c r="C78" s="9">
        <v>2.5</v>
      </c>
      <c r="D78" s="9">
        <v>1.9</v>
      </c>
      <c r="E78" s="9">
        <f t="shared" ref="E78" si="39">(C78*D78)</f>
        <v>4.75</v>
      </c>
      <c r="F78" s="10">
        <v>49.5</v>
      </c>
      <c r="G78" s="10">
        <f t="shared" ref="G78" si="40">E78*F78</f>
        <v>235.125</v>
      </c>
      <c r="H78" s="11"/>
      <c r="I78" s="10">
        <f t="shared" ref="I78" si="41">H78*G78</f>
        <v>0</v>
      </c>
      <c r="J78" s="1"/>
      <c r="K78" s="1"/>
    </row>
    <row r="79" spans="1:11" ht="39" customHeight="1" x14ac:dyDescent="0.5">
      <c r="A79" s="9" t="s">
        <v>4</v>
      </c>
      <c r="B79" s="9" t="s">
        <v>21</v>
      </c>
      <c r="C79" s="9">
        <v>1.605</v>
      </c>
      <c r="D79" s="9">
        <v>1.9</v>
      </c>
      <c r="E79" s="9">
        <f t="shared" ref="E79" si="42">(C79*D79)</f>
        <v>3.0494999999999997</v>
      </c>
      <c r="F79" s="10">
        <v>49.5</v>
      </c>
      <c r="G79" s="10">
        <f t="shared" ref="G79" si="43">E79*F79</f>
        <v>150.95024999999998</v>
      </c>
      <c r="H79" s="11"/>
      <c r="I79" s="10">
        <f t="shared" ref="I79" si="44">H79*G79</f>
        <v>0</v>
      </c>
      <c r="J79" s="1"/>
      <c r="K79" s="1"/>
    </row>
    <row r="80" spans="1:11" ht="39.9" customHeight="1" x14ac:dyDescent="0.5">
      <c r="A80" s="4" t="s">
        <v>22</v>
      </c>
      <c r="B80" s="4" t="s">
        <v>21</v>
      </c>
      <c r="C80" s="4">
        <v>2.44</v>
      </c>
      <c r="D80" s="4">
        <v>1.83</v>
      </c>
      <c r="E80" s="4">
        <f t="shared" si="29"/>
        <v>4.4652000000000003</v>
      </c>
      <c r="F80" s="3">
        <v>53</v>
      </c>
      <c r="G80" s="5">
        <f t="shared" si="27"/>
        <v>236.65560000000002</v>
      </c>
      <c r="H80" s="2"/>
      <c r="I80" s="5">
        <f t="shared" si="28"/>
        <v>0</v>
      </c>
      <c r="J80" s="1"/>
      <c r="K80" s="1"/>
    </row>
    <row r="81" spans="1:11" ht="39.9" customHeight="1" x14ac:dyDescent="0.5">
      <c r="A81" s="4" t="s">
        <v>22</v>
      </c>
      <c r="B81" s="4" t="s">
        <v>21</v>
      </c>
      <c r="C81" s="4">
        <v>2.44</v>
      </c>
      <c r="D81" s="4">
        <v>1.9</v>
      </c>
      <c r="E81" s="4">
        <f t="shared" si="29"/>
        <v>4.6360000000000001</v>
      </c>
      <c r="F81" s="3">
        <v>53</v>
      </c>
      <c r="G81" s="5">
        <f t="shared" si="27"/>
        <v>245.708</v>
      </c>
      <c r="H81" s="2"/>
      <c r="I81" s="5">
        <f t="shared" si="28"/>
        <v>0</v>
      </c>
      <c r="J81" s="1"/>
      <c r="K81" s="1"/>
    </row>
    <row r="82" spans="1:11" ht="39.9" customHeight="1" x14ac:dyDescent="0.5">
      <c r="A82" s="4" t="s">
        <v>43</v>
      </c>
      <c r="B82" s="4" t="s">
        <v>35</v>
      </c>
      <c r="C82" s="4">
        <v>2.2000000000000002</v>
      </c>
      <c r="D82" s="4">
        <v>1.8</v>
      </c>
      <c r="E82" s="4">
        <f t="shared" ref="E82" si="45">(C82*D82)</f>
        <v>3.9600000000000004</v>
      </c>
      <c r="F82" s="3">
        <v>88.8</v>
      </c>
      <c r="G82" s="5">
        <f t="shared" ref="G82" si="46">E82*F82</f>
        <v>351.64800000000002</v>
      </c>
      <c r="H82" s="2"/>
      <c r="I82" s="5">
        <f t="shared" ref="I82" si="47">H82*G82</f>
        <v>0</v>
      </c>
      <c r="J82" s="1"/>
      <c r="K82" s="1"/>
    </row>
    <row r="83" spans="1:11" ht="39.9" customHeight="1" x14ac:dyDescent="0.5">
      <c r="A83" s="4" t="s">
        <v>44</v>
      </c>
      <c r="B83" s="4" t="s">
        <v>35</v>
      </c>
      <c r="C83" s="4">
        <v>2.2000000000000002</v>
      </c>
      <c r="D83" s="4">
        <v>1.8</v>
      </c>
      <c r="E83" s="4">
        <f t="shared" ref="E83" si="48">(C83*D83)</f>
        <v>3.9600000000000004</v>
      </c>
      <c r="F83" s="3">
        <v>128</v>
      </c>
      <c r="G83" s="5">
        <f t="shared" ref="G83" si="49">E83*F83</f>
        <v>506.88000000000005</v>
      </c>
      <c r="H83" s="2"/>
      <c r="I83" s="5">
        <f t="shared" ref="I83" si="50">H83*G83</f>
        <v>0</v>
      </c>
      <c r="J83" s="1"/>
      <c r="K83" s="1"/>
    </row>
    <row r="84" spans="1:11" ht="39.9" customHeight="1" x14ac:dyDescent="0.5">
      <c r="A84" s="4" t="s">
        <v>45</v>
      </c>
      <c r="B84" s="4" t="s">
        <v>35</v>
      </c>
      <c r="C84" s="4">
        <v>2.2000000000000002</v>
      </c>
      <c r="D84" s="4">
        <v>1.8</v>
      </c>
      <c r="E84" s="4">
        <f t="shared" ref="E84" si="51">(C84*D84)</f>
        <v>3.9600000000000004</v>
      </c>
      <c r="F84" s="3">
        <v>160</v>
      </c>
      <c r="G84" s="5">
        <f t="shared" ref="G84" si="52">E84*F84</f>
        <v>633.6</v>
      </c>
      <c r="H84" s="2"/>
      <c r="I84" s="5">
        <f t="shared" ref="I84" si="53">H84*G84</f>
        <v>0</v>
      </c>
      <c r="J84" s="1"/>
      <c r="K84" s="1"/>
    </row>
    <row r="85" spans="1:11" ht="39.9" customHeight="1" x14ac:dyDescent="0.5">
      <c r="A85" s="4" t="s">
        <v>36</v>
      </c>
      <c r="B85" s="4" t="s">
        <v>26</v>
      </c>
      <c r="C85" s="4">
        <v>2.2000000000000002</v>
      </c>
      <c r="D85" s="4">
        <v>1.83</v>
      </c>
      <c r="E85" s="4">
        <f t="shared" ref="E85" si="54">(C85*D85)</f>
        <v>4.0260000000000007</v>
      </c>
      <c r="F85" s="5">
        <v>75.900000000000006</v>
      </c>
      <c r="G85" s="5">
        <f t="shared" ref="G85" si="55">E85*F85</f>
        <v>305.57340000000005</v>
      </c>
      <c r="H85" s="2"/>
      <c r="I85" s="5">
        <f>H85*G85</f>
        <v>0</v>
      </c>
      <c r="J85" s="1"/>
      <c r="K85" s="1"/>
    </row>
    <row r="86" spans="1:11" ht="39.9" customHeight="1" x14ac:dyDescent="0.5">
      <c r="A86" s="4" t="s">
        <v>52</v>
      </c>
      <c r="B86" s="4" t="s">
        <v>35</v>
      </c>
      <c r="C86" s="4">
        <v>2.4</v>
      </c>
      <c r="D86" s="4">
        <v>3.21</v>
      </c>
      <c r="E86" s="4">
        <f t="shared" ref="E86" si="56">(C86*D86)</f>
        <v>7.7039999999999997</v>
      </c>
      <c r="F86" s="3">
        <v>72</v>
      </c>
      <c r="G86" s="5">
        <f t="shared" ref="G86" si="57">E86*F86</f>
        <v>554.68799999999999</v>
      </c>
      <c r="H86" s="2"/>
      <c r="I86" s="5">
        <f t="shared" ref="I86" si="58">H86*G86</f>
        <v>0</v>
      </c>
      <c r="J86" s="1"/>
      <c r="K86" s="1"/>
    </row>
    <row r="87" spans="1:11" ht="39.9" customHeight="1" x14ac:dyDescent="0.5">
      <c r="A87" s="4" t="s">
        <v>47</v>
      </c>
      <c r="B87" s="4" t="s">
        <v>35</v>
      </c>
      <c r="C87" s="4">
        <v>2.4</v>
      </c>
      <c r="D87" s="4"/>
      <c r="E87" s="4">
        <f t="shared" ref="E87" si="59">(C87*D87)</f>
        <v>0</v>
      </c>
      <c r="F87" s="3">
        <v>100</v>
      </c>
      <c r="G87" s="5">
        <f>E87*F87</f>
        <v>0</v>
      </c>
      <c r="H87" s="2"/>
      <c r="I87" s="5">
        <f t="shared" ref="I87" si="60">H87*G87</f>
        <v>0</v>
      </c>
      <c r="J87" s="1"/>
      <c r="K87" s="1"/>
    </row>
    <row r="88" spans="1:11" ht="39.9" customHeight="1" x14ac:dyDescent="0.5">
      <c r="A88" s="4" t="s">
        <v>46</v>
      </c>
      <c r="B88" s="4" t="s">
        <v>35</v>
      </c>
      <c r="C88" s="4">
        <v>2.2000000000000002</v>
      </c>
      <c r="D88" s="4">
        <v>3.21</v>
      </c>
      <c r="E88" s="4">
        <f t="shared" ref="E88:E92" si="61">(C88*D88)</f>
        <v>7.0620000000000003</v>
      </c>
      <c r="F88" s="3">
        <v>76</v>
      </c>
      <c r="G88" s="5">
        <f>E88*F88</f>
        <v>536.71199999999999</v>
      </c>
      <c r="H88" s="2"/>
      <c r="I88" s="5">
        <f>H88*G88</f>
        <v>0</v>
      </c>
    </row>
    <row r="89" spans="1:11" ht="39" customHeight="1" x14ac:dyDescent="0.5">
      <c r="A89" s="4" t="s">
        <v>46</v>
      </c>
      <c r="B89" s="4" t="s">
        <v>35</v>
      </c>
      <c r="C89" s="4">
        <v>2.2000000000000002</v>
      </c>
      <c r="D89" s="4">
        <v>3.6</v>
      </c>
      <c r="E89" s="4">
        <f t="shared" ref="E89:E91" si="62">(C89*D89)</f>
        <v>7.9200000000000008</v>
      </c>
      <c r="F89" s="3">
        <v>76</v>
      </c>
      <c r="G89" s="5">
        <f t="shared" ref="G89:G91" si="63">E89*F89</f>
        <v>601.92000000000007</v>
      </c>
      <c r="H89" s="2"/>
      <c r="I89" s="5">
        <f>H89*G89</f>
        <v>0</v>
      </c>
    </row>
    <row r="90" spans="1:11" ht="39" customHeight="1" x14ac:dyDescent="0.5">
      <c r="A90" s="4" t="s">
        <v>46</v>
      </c>
      <c r="B90" s="4" t="s">
        <v>35</v>
      </c>
      <c r="C90" s="4">
        <v>2.4</v>
      </c>
      <c r="D90" s="4">
        <v>1.605</v>
      </c>
      <c r="E90" s="4">
        <f t="shared" ref="E90" si="64">(C90*D90)</f>
        <v>3.8519999999999999</v>
      </c>
      <c r="F90" s="3">
        <v>76</v>
      </c>
      <c r="G90" s="5">
        <f t="shared" ref="G90" si="65">E90*F90</f>
        <v>292.75200000000001</v>
      </c>
      <c r="H90" s="2"/>
      <c r="I90" s="5">
        <f>H90*G90</f>
        <v>0</v>
      </c>
    </row>
    <row r="91" spans="1:11" ht="39.9" customHeight="1" x14ac:dyDescent="0.5">
      <c r="A91" s="4" t="s">
        <v>34</v>
      </c>
      <c r="B91" s="4" t="s">
        <v>35</v>
      </c>
      <c r="C91" s="4">
        <v>2.14</v>
      </c>
      <c r="D91" s="4">
        <v>1.65</v>
      </c>
      <c r="E91" s="4">
        <f t="shared" si="62"/>
        <v>3.5310000000000001</v>
      </c>
      <c r="F91" s="3">
        <v>79</v>
      </c>
      <c r="G91" s="5">
        <f t="shared" si="63"/>
        <v>278.94900000000001</v>
      </c>
      <c r="H91" s="2"/>
      <c r="I91" s="5">
        <f>H91*G91</f>
        <v>0</v>
      </c>
    </row>
    <row r="92" spans="1:11" ht="39.9" customHeight="1" x14ac:dyDescent="0.5">
      <c r="A92" s="4" t="s">
        <v>34</v>
      </c>
      <c r="B92" s="4" t="s">
        <v>35</v>
      </c>
      <c r="C92" s="4">
        <v>2.14</v>
      </c>
      <c r="D92" s="4">
        <v>3.3</v>
      </c>
      <c r="E92" s="4">
        <f t="shared" si="61"/>
        <v>7.0620000000000003</v>
      </c>
      <c r="F92" s="3">
        <v>79</v>
      </c>
      <c r="G92" s="5">
        <f>E92*F92</f>
        <v>557.89800000000002</v>
      </c>
      <c r="H92" s="2"/>
      <c r="I92" s="5">
        <f>H92*G92</f>
        <v>0</v>
      </c>
    </row>
    <row r="93" spans="1:11" ht="49.5" customHeight="1" x14ac:dyDescent="0.7">
      <c r="H93" s="36">
        <f>SUM(I5:I92)</f>
        <v>14256.252</v>
      </c>
      <c r="I93" s="36"/>
    </row>
  </sheetData>
  <mergeCells count="9">
    <mergeCell ref="H93:I93"/>
    <mergeCell ref="A1:I1"/>
    <mergeCell ref="A2:I2"/>
    <mergeCell ref="A3:A4"/>
    <mergeCell ref="B3:B4"/>
    <mergeCell ref="C3:C4"/>
    <mergeCell ref="D3:D4"/>
    <mergeCell ref="E3:E4"/>
    <mergeCell ref="H3:H4"/>
  </mergeCells>
  <pageMargins left="0.11811023622047245" right="0.11811023622047245" top="0.39370078740157483" bottom="0.74803149606299213" header="0.31496062992125984" footer="0.31496062992125984"/>
  <pageSetup paperSize="9" scale="51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17B27-3905-406D-AFED-B61BF0BE18F3}">
  <sheetPr codeName="Planilha1">
    <pageSetUpPr fitToPage="1"/>
  </sheetPr>
  <dimension ref="A1:P36"/>
  <sheetViews>
    <sheetView zoomScale="80" zoomScaleNormal="80" workbookViewId="0">
      <selection activeCell="G26" sqref="G26"/>
    </sheetView>
  </sheetViews>
  <sheetFormatPr defaultRowHeight="14.4" x14ac:dyDescent="0.3"/>
  <cols>
    <col min="1" max="1" width="33.77734375" customWidth="1"/>
    <col min="2" max="4" width="10.77734375" customWidth="1"/>
    <col min="5" max="7" width="13.77734375" customWidth="1"/>
    <col min="8" max="8" width="19.77734375" customWidth="1"/>
    <col min="9" max="9" width="35.77734375" customWidth="1"/>
    <col min="10" max="12" width="10.77734375" customWidth="1"/>
    <col min="13" max="15" width="13.77734375" customWidth="1"/>
    <col min="16" max="16" width="19.77734375" customWidth="1"/>
  </cols>
  <sheetData>
    <row r="1" spans="1:16" ht="24.6" customHeight="1" x14ac:dyDescent="0.5">
      <c r="A1" s="53" t="s">
        <v>66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5"/>
    </row>
    <row r="2" spans="1:16" ht="27" customHeight="1" x14ac:dyDescent="0.5">
      <c r="A2" s="58" t="s">
        <v>58</v>
      </c>
      <c r="B2" s="59"/>
      <c r="C2" s="59"/>
      <c r="D2" s="59"/>
      <c r="E2" s="59"/>
      <c r="F2" s="59"/>
      <c r="G2" s="59"/>
      <c r="H2" s="60"/>
      <c r="I2" s="58" t="s">
        <v>59</v>
      </c>
      <c r="J2" s="59"/>
      <c r="K2" s="59"/>
      <c r="L2" s="59"/>
      <c r="M2" s="59"/>
      <c r="N2" s="59"/>
      <c r="O2" s="59"/>
      <c r="P2" s="60"/>
    </row>
    <row r="3" spans="1:16" s="25" customFormat="1" ht="15" customHeight="1" x14ac:dyDescent="0.45">
      <c r="A3" s="57" t="s">
        <v>1</v>
      </c>
      <c r="B3" s="57" t="s">
        <v>53</v>
      </c>
      <c r="C3" s="57" t="s">
        <v>15</v>
      </c>
      <c r="D3" s="57" t="s">
        <v>14</v>
      </c>
      <c r="E3" s="15" t="s">
        <v>56</v>
      </c>
      <c r="F3" s="15" t="s">
        <v>54</v>
      </c>
      <c r="G3" s="15" t="s">
        <v>54</v>
      </c>
      <c r="H3" s="56" t="s">
        <v>67</v>
      </c>
      <c r="I3" s="57" t="s">
        <v>1</v>
      </c>
      <c r="J3" s="57" t="s">
        <v>53</v>
      </c>
      <c r="K3" s="57" t="s">
        <v>15</v>
      </c>
      <c r="L3" s="57" t="s">
        <v>14</v>
      </c>
      <c r="M3" s="15" t="s">
        <v>56</v>
      </c>
      <c r="N3" s="15" t="s">
        <v>54</v>
      </c>
      <c r="O3" s="15" t="s">
        <v>54</v>
      </c>
      <c r="P3" s="56" t="s">
        <v>67</v>
      </c>
    </row>
    <row r="4" spans="1:16" s="25" customFormat="1" ht="15" customHeight="1" x14ac:dyDescent="0.45">
      <c r="A4" s="61"/>
      <c r="B4" s="61"/>
      <c r="C4" s="61"/>
      <c r="D4" s="61"/>
      <c r="E4" s="16" t="s">
        <v>54</v>
      </c>
      <c r="F4" s="16" t="s">
        <v>55</v>
      </c>
      <c r="G4" s="16" t="s">
        <v>57</v>
      </c>
      <c r="H4" s="57"/>
      <c r="I4" s="61"/>
      <c r="J4" s="61"/>
      <c r="K4" s="61"/>
      <c r="L4" s="61"/>
      <c r="M4" s="16" t="s">
        <v>54</v>
      </c>
      <c r="N4" s="16" t="s">
        <v>55</v>
      </c>
      <c r="O4" s="16" t="s">
        <v>57</v>
      </c>
      <c r="P4" s="57"/>
    </row>
    <row r="5" spans="1:16" ht="28.95" customHeight="1" x14ac:dyDescent="0.4">
      <c r="A5" s="17" t="s">
        <v>5</v>
      </c>
      <c r="B5" s="17" t="s">
        <v>26</v>
      </c>
      <c r="C5" s="17">
        <v>2.2000000000000002</v>
      </c>
      <c r="D5" s="17">
        <v>3.21</v>
      </c>
      <c r="E5" s="19"/>
      <c r="F5" s="19"/>
      <c r="G5" s="20"/>
      <c r="H5" s="20"/>
      <c r="I5" s="17" t="s">
        <v>62</v>
      </c>
      <c r="J5" s="17" t="s">
        <v>28</v>
      </c>
      <c r="K5" s="17">
        <v>2.2000000000000002</v>
      </c>
      <c r="L5" s="17">
        <v>1.605</v>
      </c>
      <c r="M5" s="19"/>
      <c r="N5" s="19"/>
      <c r="O5" s="20"/>
      <c r="P5" s="20"/>
    </row>
    <row r="6" spans="1:16" ht="28.95" customHeight="1" x14ac:dyDescent="0.55000000000000004">
      <c r="A6" s="17" t="s">
        <v>5</v>
      </c>
      <c r="B6" s="26" t="s">
        <v>26</v>
      </c>
      <c r="C6" s="26">
        <v>2.4</v>
      </c>
      <c r="D6" s="26">
        <v>3.21</v>
      </c>
      <c r="E6" s="21"/>
      <c r="F6" s="21"/>
      <c r="G6" s="22"/>
      <c r="H6" s="22"/>
      <c r="I6" s="17" t="s">
        <v>49</v>
      </c>
      <c r="J6" s="26" t="s">
        <v>7</v>
      </c>
      <c r="K6" s="26">
        <v>2.4</v>
      </c>
      <c r="L6" s="26">
        <v>3.21</v>
      </c>
      <c r="M6" s="21"/>
      <c r="N6" s="21"/>
      <c r="O6" s="22"/>
      <c r="P6" s="22"/>
    </row>
    <row r="7" spans="1:16" ht="28.95" customHeight="1" x14ac:dyDescent="0.4">
      <c r="A7" s="17" t="s">
        <v>5</v>
      </c>
      <c r="B7" s="17" t="s">
        <v>27</v>
      </c>
      <c r="C7" s="17">
        <v>2.2000000000000002</v>
      </c>
      <c r="D7" s="17">
        <v>3.21</v>
      </c>
      <c r="E7" s="21"/>
      <c r="F7" s="21"/>
      <c r="G7" s="22"/>
      <c r="H7" s="22"/>
      <c r="I7" s="17" t="s">
        <v>40</v>
      </c>
      <c r="J7" s="17" t="s">
        <v>7</v>
      </c>
      <c r="K7" s="17">
        <v>2.2000000000000002</v>
      </c>
      <c r="L7" s="17">
        <v>3.21</v>
      </c>
      <c r="M7" s="21"/>
      <c r="N7" s="21"/>
      <c r="O7" s="22"/>
      <c r="P7" s="22"/>
    </row>
    <row r="8" spans="1:16" ht="28.95" customHeight="1" x14ac:dyDescent="0.55000000000000004">
      <c r="A8" s="17" t="s">
        <v>5</v>
      </c>
      <c r="B8" s="26" t="s">
        <v>27</v>
      </c>
      <c r="C8" s="26">
        <v>2.4</v>
      </c>
      <c r="D8" s="26">
        <v>3.21</v>
      </c>
      <c r="E8" s="21"/>
      <c r="F8" s="21"/>
      <c r="G8" s="22"/>
      <c r="H8" s="22"/>
      <c r="I8" s="17" t="s">
        <v>40</v>
      </c>
      <c r="J8" s="26" t="s">
        <v>7</v>
      </c>
      <c r="K8" s="26">
        <v>2.4</v>
      </c>
      <c r="L8" s="26">
        <v>3.21</v>
      </c>
      <c r="M8" s="21"/>
      <c r="N8" s="21"/>
      <c r="O8" s="22"/>
      <c r="P8" s="22"/>
    </row>
    <row r="9" spans="1:16" ht="28.95" customHeight="1" x14ac:dyDescent="0.55000000000000004">
      <c r="A9" s="17" t="s">
        <v>5</v>
      </c>
      <c r="B9" s="26" t="s">
        <v>6</v>
      </c>
      <c r="C9" s="26">
        <v>2.4</v>
      </c>
      <c r="D9" s="26">
        <v>3.21</v>
      </c>
      <c r="E9" s="21"/>
      <c r="F9" s="21"/>
      <c r="G9" s="22"/>
      <c r="H9" s="22"/>
      <c r="I9" s="17" t="s">
        <v>69</v>
      </c>
      <c r="J9" s="26" t="s">
        <v>7</v>
      </c>
      <c r="K9" s="26">
        <v>2.4</v>
      </c>
      <c r="L9" s="26">
        <v>3.21</v>
      </c>
      <c r="M9" s="21"/>
      <c r="N9" s="21"/>
      <c r="O9" s="22"/>
      <c r="P9" s="22"/>
    </row>
    <row r="10" spans="1:16" ht="28.95" customHeight="1" x14ac:dyDescent="0.55000000000000004">
      <c r="A10" s="17" t="s">
        <v>5</v>
      </c>
      <c r="B10" s="17" t="s">
        <v>6</v>
      </c>
      <c r="C10" s="17">
        <v>2.5499999999999998</v>
      </c>
      <c r="D10" s="17">
        <v>3.21</v>
      </c>
      <c r="E10" s="21"/>
      <c r="F10" s="21"/>
      <c r="G10" s="22"/>
      <c r="H10" s="22"/>
      <c r="I10" s="17" t="s">
        <v>40</v>
      </c>
      <c r="J10" s="26" t="s">
        <v>6</v>
      </c>
      <c r="K10" s="26">
        <v>2.4</v>
      </c>
      <c r="L10" s="26">
        <v>3.21</v>
      </c>
      <c r="M10" s="21"/>
      <c r="N10" s="21"/>
      <c r="O10" s="22"/>
      <c r="P10" s="22"/>
    </row>
    <row r="11" spans="1:16" ht="28.95" customHeight="1" x14ac:dyDescent="0.55000000000000004">
      <c r="A11" s="17" t="s">
        <v>5</v>
      </c>
      <c r="B11" s="26" t="s">
        <v>16</v>
      </c>
      <c r="C11" s="26">
        <v>2.4</v>
      </c>
      <c r="D11" s="26">
        <v>3.21</v>
      </c>
      <c r="E11" s="21"/>
      <c r="F11" s="21"/>
      <c r="G11" s="22"/>
      <c r="H11" s="22"/>
      <c r="I11" s="17" t="s">
        <v>42</v>
      </c>
      <c r="J11" s="17" t="s">
        <v>6</v>
      </c>
      <c r="K11" s="17">
        <v>2.25</v>
      </c>
      <c r="L11" s="17">
        <v>3.21</v>
      </c>
      <c r="M11" s="21"/>
      <c r="N11" s="21"/>
      <c r="O11" s="22"/>
      <c r="P11" s="22"/>
    </row>
    <row r="12" spans="1:16" ht="28.95" customHeight="1" x14ac:dyDescent="0.4">
      <c r="A12" s="17" t="s">
        <v>5</v>
      </c>
      <c r="B12" s="17" t="s">
        <v>16</v>
      </c>
      <c r="C12" s="17">
        <v>2.2000000000000002</v>
      </c>
      <c r="D12" s="17">
        <v>3.21</v>
      </c>
      <c r="E12" s="21"/>
      <c r="F12" s="21"/>
      <c r="G12" s="22"/>
      <c r="H12" s="22"/>
      <c r="I12" s="17" t="s">
        <v>37</v>
      </c>
      <c r="J12" s="17" t="s">
        <v>6</v>
      </c>
      <c r="K12" s="17">
        <v>2.25</v>
      </c>
      <c r="L12" s="17">
        <v>3.21</v>
      </c>
      <c r="M12" s="21"/>
      <c r="N12" s="21"/>
      <c r="O12" s="22"/>
      <c r="P12" s="22"/>
    </row>
    <row r="13" spans="1:16" ht="28.95" customHeight="1" x14ac:dyDescent="0.55000000000000004">
      <c r="A13" s="17" t="s">
        <v>5</v>
      </c>
      <c r="B13" s="26" t="s">
        <v>8</v>
      </c>
      <c r="C13" s="26">
        <v>2.4</v>
      </c>
      <c r="D13" s="26">
        <v>3.21</v>
      </c>
      <c r="E13" s="21"/>
      <c r="F13" s="21"/>
      <c r="G13" s="22"/>
      <c r="H13" s="22"/>
      <c r="I13" s="17" t="s">
        <v>69</v>
      </c>
      <c r="J13" s="26" t="s">
        <v>6</v>
      </c>
      <c r="K13" s="26">
        <v>2.4</v>
      </c>
      <c r="L13" s="26">
        <v>3.21</v>
      </c>
      <c r="M13" s="21"/>
      <c r="N13" s="21"/>
      <c r="O13" s="22"/>
      <c r="P13" s="22"/>
    </row>
    <row r="14" spans="1:16" ht="28.95" customHeight="1" x14ac:dyDescent="0.4">
      <c r="A14" s="17" t="s">
        <v>5</v>
      </c>
      <c r="B14" s="17" t="s">
        <v>8</v>
      </c>
      <c r="C14" s="17">
        <v>2.2999999999999998</v>
      </c>
      <c r="D14" s="17">
        <v>1.8</v>
      </c>
      <c r="E14" s="21"/>
      <c r="F14" s="21"/>
      <c r="G14" s="22"/>
      <c r="H14" s="22"/>
      <c r="I14" s="17" t="s">
        <v>69</v>
      </c>
      <c r="J14" s="17" t="s">
        <v>6</v>
      </c>
      <c r="K14" s="17">
        <v>2.2000000000000002</v>
      </c>
      <c r="L14" s="17">
        <v>3.21</v>
      </c>
      <c r="M14" s="21"/>
      <c r="N14" s="21"/>
      <c r="O14" s="22"/>
      <c r="P14" s="22"/>
    </row>
    <row r="15" spans="1:16" ht="28.95" customHeight="1" x14ac:dyDescent="0.55000000000000004">
      <c r="A15" s="17" t="s">
        <v>5</v>
      </c>
      <c r="B15" s="26" t="s">
        <v>12</v>
      </c>
      <c r="C15" s="26">
        <v>2.2000000000000002</v>
      </c>
      <c r="D15" s="26">
        <v>3.6</v>
      </c>
      <c r="E15" s="21"/>
      <c r="F15" s="21"/>
      <c r="G15" s="22"/>
      <c r="H15" s="22"/>
      <c r="I15" s="17" t="s">
        <v>40</v>
      </c>
      <c r="J15" s="26" t="s">
        <v>16</v>
      </c>
      <c r="K15" s="26">
        <v>2.4</v>
      </c>
      <c r="L15" s="26">
        <v>3.21</v>
      </c>
      <c r="M15" s="21"/>
      <c r="N15" s="21"/>
      <c r="O15" s="22"/>
      <c r="P15" s="22"/>
    </row>
    <row r="16" spans="1:16" ht="28.95" customHeight="1" x14ac:dyDescent="0.55000000000000004">
      <c r="A16" s="17" t="s">
        <v>5</v>
      </c>
      <c r="B16" s="26" t="s">
        <v>12</v>
      </c>
      <c r="C16" s="26">
        <v>2.4</v>
      </c>
      <c r="D16" s="26">
        <v>1.8</v>
      </c>
      <c r="E16" s="21"/>
      <c r="F16" s="21"/>
      <c r="G16" s="22"/>
      <c r="H16" s="22"/>
      <c r="I16" s="17" t="s">
        <v>40</v>
      </c>
      <c r="J16" s="26" t="s">
        <v>8</v>
      </c>
      <c r="K16" s="26">
        <v>2.4</v>
      </c>
      <c r="L16" s="26">
        <v>3.21</v>
      </c>
      <c r="M16" s="21"/>
      <c r="N16" s="21"/>
      <c r="O16" s="22"/>
      <c r="P16" s="22"/>
    </row>
    <row r="17" spans="1:16" ht="28.95" customHeight="1" x14ac:dyDescent="0.55000000000000004">
      <c r="A17" s="17" t="s">
        <v>5</v>
      </c>
      <c r="B17" s="26" t="s">
        <v>12</v>
      </c>
      <c r="C17" s="26">
        <v>2.4</v>
      </c>
      <c r="D17" s="26">
        <v>3.6</v>
      </c>
      <c r="E17" s="21"/>
      <c r="F17" s="21"/>
      <c r="G17" s="22"/>
      <c r="H17" s="22"/>
      <c r="I17" s="17" t="s">
        <v>63</v>
      </c>
      <c r="J17" s="17" t="s">
        <v>19</v>
      </c>
      <c r="K17" s="17">
        <v>2.2000000000000002</v>
      </c>
      <c r="L17" s="17">
        <v>3.21</v>
      </c>
      <c r="M17" s="21"/>
      <c r="N17" s="21"/>
      <c r="O17" s="22"/>
      <c r="P17" s="22"/>
    </row>
    <row r="18" spans="1:16" ht="28.95" customHeight="1" x14ac:dyDescent="0.55000000000000004">
      <c r="A18" s="17" t="s">
        <v>5</v>
      </c>
      <c r="B18" s="26" t="s">
        <v>12</v>
      </c>
      <c r="C18" s="26">
        <v>2.4</v>
      </c>
      <c r="D18" s="26">
        <v>3.21</v>
      </c>
      <c r="E18" s="21"/>
      <c r="F18" s="21"/>
      <c r="G18" s="22"/>
      <c r="H18" s="22"/>
      <c r="I18" s="17" t="s">
        <v>63</v>
      </c>
      <c r="J18" s="26" t="s">
        <v>19</v>
      </c>
      <c r="K18" s="26">
        <v>2.4</v>
      </c>
      <c r="L18" s="26">
        <v>3.21</v>
      </c>
      <c r="M18" s="21"/>
      <c r="N18" s="21"/>
      <c r="O18" s="22"/>
      <c r="P18" s="22"/>
    </row>
    <row r="19" spans="1:16" ht="28.95" customHeight="1" x14ac:dyDescent="0.55000000000000004">
      <c r="A19" s="17" t="s">
        <v>5</v>
      </c>
      <c r="B19" s="26" t="s">
        <v>17</v>
      </c>
      <c r="C19" s="26">
        <v>2.4</v>
      </c>
      <c r="D19" s="26">
        <v>3.6</v>
      </c>
      <c r="E19" s="21"/>
      <c r="F19" s="21"/>
      <c r="G19" s="22"/>
      <c r="H19" s="22"/>
      <c r="I19" s="17" t="s">
        <v>63</v>
      </c>
      <c r="J19" s="26" t="s">
        <v>20</v>
      </c>
      <c r="K19" s="26">
        <v>2.4</v>
      </c>
      <c r="L19" s="26">
        <v>3.21</v>
      </c>
      <c r="M19" s="21"/>
      <c r="N19" s="21"/>
      <c r="O19" s="22"/>
      <c r="P19" s="22"/>
    </row>
    <row r="20" spans="1:16" ht="28.95" customHeight="1" x14ac:dyDescent="0.55000000000000004">
      <c r="A20" s="17" t="s">
        <v>5</v>
      </c>
      <c r="B20" s="17" t="s">
        <v>17</v>
      </c>
      <c r="C20" s="17">
        <v>2.2000000000000002</v>
      </c>
      <c r="D20" s="17">
        <v>3.21</v>
      </c>
      <c r="E20" s="21"/>
      <c r="F20" s="21"/>
      <c r="G20" s="22"/>
      <c r="H20" s="22"/>
      <c r="I20" s="17" t="s">
        <v>63</v>
      </c>
      <c r="J20" s="26" t="s">
        <v>30</v>
      </c>
      <c r="K20" s="26">
        <v>2.4</v>
      </c>
      <c r="L20" s="26">
        <v>3.21</v>
      </c>
      <c r="M20" s="21"/>
      <c r="N20" s="21"/>
      <c r="O20" s="22"/>
      <c r="P20" s="22"/>
    </row>
    <row r="21" spans="1:16" ht="28.95" customHeight="1" x14ac:dyDescent="0.55000000000000004">
      <c r="A21" s="17" t="s">
        <v>60</v>
      </c>
      <c r="B21" s="17" t="s">
        <v>7</v>
      </c>
      <c r="C21" s="17">
        <v>2.4</v>
      </c>
      <c r="D21" s="17">
        <v>3.21</v>
      </c>
      <c r="E21" s="21"/>
      <c r="F21" s="21"/>
      <c r="G21" s="22"/>
      <c r="H21" s="22"/>
      <c r="I21" s="17" t="s">
        <v>64</v>
      </c>
      <c r="J21" s="26" t="s">
        <v>19</v>
      </c>
      <c r="K21" s="26">
        <v>2.4</v>
      </c>
      <c r="L21" s="26">
        <v>3.21</v>
      </c>
      <c r="M21" s="21"/>
      <c r="N21" s="21"/>
      <c r="O21" s="22"/>
      <c r="P21" s="22"/>
    </row>
    <row r="22" spans="1:16" ht="28.95" customHeight="1" x14ac:dyDescent="0.55000000000000004">
      <c r="A22" s="17" t="s">
        <v>61</v>
      </c>
      <c r="B22" s="26" t="s">
        <v>7</v>
      </c>
      <c r="C22" s="26">
        <v>2.44</v>
      </c>
      <c r="D22" s="26">
        <v>1.83</v>
      </c>
      <c r="E22" s="21"/>
      <c r="F22" s="21"/>
      <c r="G22" s="22"/>
      <c r="H22" s="22"/>
      <c r="I22" s="17" t="s">
        <v>64</v>
      </c>
      <c r="J22" s="26" t="s">
        <v>20</v>
      </c>
      <c r="K22" s="26">
        <v>2.4</v>
      </c>
      <c r="L22" s="26">
        <v>3.21</v>
      </c>
      <c r="M22" s="21"/>
      <c r="N22" s="21"/>
      <c r="O22" s="22"/>
      <c r="P22" s="22"/>
    </row>
    <row r="23" spans="1:16" ht="28.95" customHeight="1" x14ac:dyDescent="0.55000000000000004">
      <c r="A23" s="17" t="s">
        <v>9</v>
      </c>
      <c r="B23" s="26" t="s">
        <v>6</v>
      </c>
      <c r="C23" s="26">
        <v>2.4</v>
      </c>
      <c r="D23" s="26">
        <v>3.21</v>
      </c>
      <c r="E23" s="21"/>
      <c r="F23" s="21"/>
      <c r="G23" s="22"/>
      <c r="H23" s="22"/>
      <c r="I23" s="17" t="s">
        <v>64</v>
      </c>
      <c r="J23" s="26" t="s">
        <v>30</v>
      </c>
      <c r="K23" s="26">
        <v>2.4</v>
      </c>
      <c r="L23" s="26">
        <v>3.21</v>
      </c>
      <c r="M23" s="21"/>
      <c r="N23" s="21"/>
      <c r="O23" s="22"/>
      <c r="P23" s="22"/>
    </row>
    <row r="24" spans="1:16" ht="28.95" customHeight="1" x14ac:dyDescent="0.55000000000000004">
      <c r="A24" s="17" t="s">
        <v>9</v>
      </c>
      <c r="B24" s="26" t="s">
        <v>16</v>
      </c>
      <c r="C24" s="26">
        <v>2.4</v>
      </c>
      <c r="D24" s="26">
        <v>3.21</v>
      </c>
      <c r="E24" s="21"/>
      <c r="F24" s="21"/>
      <c r="G24" s="22"/>
      <c r="H24" s="22"/>
      <c r="I24" s="17" t="s">
        <v>65</v>
      </c>
      <c r="J24" s="26" t="s">
        <v>20</v>
      </c>
      <c r="K24" s="26">
        <v>2.4</v>
      </c>
      <c r="L24" s="26">
        <v>3.21</v>
      </c>
      <c r="M24" s="21"/>
      <c r="N24" s="21"/>
      <c r="O24" s="22"/>
      <c r="P24" s="22"/>
    </row>
    <row r="25" spans="1:16" ht="28.95" customHeight="1" x14ac:dyDescent="0.55000000000000004">
      <c r="A25" s="17" t="s">
        <v>9</v>
      </c>
      <c r="B25" s="26" t="s">
        <v>8</v>
      </c>
      <c r="C25" s="26">
        <v>2.4</v>
      </c>
      <c r="D25" s="26">
        <v>3.21</v>
      </c>
      <c r="E25" s="21"/>
      <c r="F25" s="21"/>
      <c r="G25" s="22"/>
      <c r="H25" s="22"/>
      <c r="I25" s="17" t="s">
        <v>32</v>
      </c>
      <c r="J25" s="26" t="s">
        <v>12</v>
      </c>
      <c r="K25" s="26">
        <v>2.4</v>
      </c>
      <c r="L25" s="26">
        <v>3.6</v>
      </c>
      <c r="M25" s="21"/>
      <c r="N25" s="21"/>
      <c r="O25" s="22"/>
      <c r="P25" s="22"/>
    </row>
    <row r="26" spans="1:16" ht="28.95" customHeight="1" x14ac:dyDescent="0.55000000000000004">
      <c r="A26" s="17" t="s">
        <v>9</v>
      </c>
      <c r="B26" s="26" t="s">
        <v>12</v>
      </c>
      <c r="C26" s="26">
        <v>2.4</v>
      </c>
      <c r="D26" s="26">
        <v>3.6</v>
      </c>
      <c r="E26" s="21"/>
      <c r="F26" s="21"/>
      <c r="G26" s="22"/>
      <c r="H26" s="22"/>
      <c r="I26" s="17" t="s">
        <v>43</v>
      </c>
      <c r="J26" s="17" t="s">
        <v>35</v>
      </c>
      <c r="K26" s="17">
        <v>2.2000000000000002</v>
      </c>
      <c r="L26" s="17">
        <v>1.8</v>
      </c>
      <c r="M26" s="21"/>
      <c r="N26" s="21"/>
      <c r="O26" s="22"/>
      <c r="P26" s="22"/>
    </row>
    <row r="27" spans="1:16" ht="28.95" customHeight="1" x14ac:dyDescent="0.55000000000000004">
      <c r="A27" s="17" t="s">
        <v>9</v>
      </c>
      <c r="B27" s="26" t="s">
        <v>17</v>
      </c>
      <c r="C27" s="26">
        <v>2.4</v>
      </c>
      <c r="D27" s="26">
        <v>3.21</v>
      </c>
      <c r="E27" s="21"/>
      <c r="F27" s="21"/>
      <c r="G27" s="22"/>
      <c r="H27" s="22"/>
      <c r="I27" s="17" t="s">
        <v>44</v>
      </c>
      <c r="J27" s="17" t="s">
        <v>35</v>
      </c>
      <c r="K27" s="17">
        <v>2.2000000000000002</v>
      </c>
      <c r="L27" s="17">
        <v>1.8</v>
      </c>
      <c r="M27" s="21"/>
      <c r="N27" s="21"/>
      <c r="O27" s="22"/>
      <c r="P27" s="22"/>
    </row>
    <row r="28" spans="1:16" ht="28.95" customHeight="1" x14ac:dyDescent="0.55000000000000004">
      <c r="A28" s="17" t="s">
        <v>39</v>
      </c>
      <c r="B28" s="26" t="s">
        <v>6</v>
      </c>
      <c r="C28" s="26">
        <v>2.4</v>
      </c>
      <c r="D28" s="26">
        <v>3.21</v>
      </c>
      <c r="E28" s="21"/>
      <c r="F28" s="21"/>
      <c r="G28" s="22"/>
      <c r="H28" s="22"/>
      <c r="I28" s="17" t="s">
        <v>45</v>
      </c>
      <c r="J28" s="17" t="s">
        <v>35</v>
      </c>
      <c r="K28" s="17">
        <v>2.2000000000000002</v>
      </c>
      <c r="L28" s="17">
        <v>1.8</v>
      </c>
      <c r="M28" s="21"/>
      <c r="N28" s="21"/>
      <c r="O28" s="22"/>
      <c r="P28" s="22"/>
    </row>
    <row r="29" spans="1:16" ht="28.95" customHeight="1" x14ac:dyDescent="0.55000000000000004">
      <c r="A29" s="17" t="s">
        <v>39</v>
      </c>
      <c r="B29" s="26" t="s">
        <v>16</v>
      </c>
      <c r="C29" s="26">
        <v>2.4</v>
      </c>
      <c r="D29" s="26">
        <v>3.21</v>
      </c>
      <c r="E29" s="21"/>
      <c r="F29" s="21"/>
      <c r="G29" s="22"/>
      <c r="H29" s="22"/>
      <c r="I29" s="17" t="s">
        <v>36</v>
      </c>
      <c r="J29" s="17" t="s">
        <v>26</v>
      </c>
      <c r="K29" s="17">
        <v>2.2000000000000002</v>
      </c>
      <c r="L29" s="17">
        <v>1.83</v>
      </c>
      <c r="M29" s="21"/>
      <c r="N29" s="21"/>
      <c r="O29" s="22"/>
      <c r="P29" s="22"/>
    </row>
    <row r="30" spans="1:16" ht="28.95" customHeight="1" x14ac:dyDescent="0.55000000000000004">
      <c r="A30" s="17" t="s">
        <v>39</v>
      </c>
      <c r="B30" s="26" t="s">
        <v>8</v>
      </c>
      <c r="C30" s="26">
        <v>2.4</v>
      </c>
      <c r="D30" s="26">
        <v>3.21</v>
      </c>
      <c r="E30" s="21"/>
      <c r="F30" s="21"/>
      <c r="G30" s="22"/>
      <c r="H30" s="22"/>
      <c r="I30" s="17" t="s">
        <v>68</v>
      </c>
      <c r="J30" s="26" t="s">
        <v>35</v>
      </c>
      <c r="K30" s="26">
        <v>2.4</v>
      </c>
      <c r="L30" s="26">
        <v>3.21</v>
      </c>
      <c r="M30" s="21"/>
      <c r="N30" s="21"/>
      <c r="O30" s="22"/>
      <c r="P30" s="22"/>
    </row>
    <row r="31" spans="1:16" ht="28.95" customHeight="1" x14ac:dyDescent="0.55000000000000004">
      <c r="A31" s="17" t="s">
        <v>39</v>
      </c>
      <c r="B31" s="26" t="s">
        <v>12</v>
      </c>
      <c r="C31" s="26">
        <v>2.4</v>
      </c>
      <c r="D31" s="26">
        <v>3.6</v>
      </c>
      <c r="E31" s="21"/>
      <c r="F31" s="21"/>
      <c r="G31" s="22"/>
      <c r="H31" s="22"/>
      <c r="I31" s="17" t="s">
        <v>47</v>
      </c>
      <c r="J31" s="26" t="s">
        <v>35</v>
      </c>
      <c r="K31" s="26">
        <v>2.4</v>
      </c>
      <c r="L31" s="26">
        <v>3.21</v>
      </c>
      <c r="M31" s="21"/>
      <c r="N31" s="21"/>
      <c r="O31" s="22"/>
      <c r="P31" s="22"/>
    </row>
    <row r="32" spans="1:16" ht="28.95" customHeight="1" x14ac:dyDescent="0.55000000000000004">
      <c r="A32" s="17" t="s">
        <v>39</v>
      </c>
      <c r="B32" s="26" t="s">
        <v>17</v>
      </c>
      <c r="C32" s="26">
        <v>2.4</v>
      </c>
      <c r="D32" s="26">
        <v>3.6</v>
      </c>
      <c r="E32" s="21"/>
      <c r="F32" s="21"/>
      <c r="G32" s="22"/>
      <c r="H32" s="22"/>
      <c r="I32" s="17" t="s">
        <v>46</v>
      </c>
      <c r="J32" s="26" t="s">
        <v>35</v>
      </c>
      <c r="K32" s="26">
        <v>2.4</v>
      </c>
      <c r="L32" s="26">
        <v>3.21</v>
      </c>
      <c r="M32" s="21"/>
      <c r="N32" s="21"/>
      <c r="O32" s="22"/>
      <c r="P32" s="22"/>
    </row>
    <row r="33" spans="1:16" ht="28.95" customHeight="1" x14ac:dyDescent="0.55000000000000004">
      <c r="A33" s="18" t="s">
        <v>4</v>
      </c>
      <c r="B33" s="28" t="s">
        <v>21</v>
      </c>
      <c r="C33" s="27">
        <v>2.44</v>
      </c>
      <c r="D33" s="27">
        <v>1.83</v>
      </c>
      <c r="E33" s="21"/>
      <c r="F33" s="21"/>
      <c r="G33" s="22"/>
      <c r="H33" s="22"/>
      <c r="I33" s="17" t="s">
        <v>34</v>
      </c>
      <c r="J33" s="17" t="s">
        <v>35</v>
      </c>
      <c r="K33" s="17">
        <v>1.1399999999999999</v>
      </c>
      <c r="L33" s="17">
        <v>3.3</v>
      </c>
      <c r="M33" s="21"/>
      <c r="N33" s="21"/>
      <c r="O33" s="22"/>
      <c r="P33" s="22"/>
    </row>
    <row r="34" spans="1:16" ht="28.95" customHeight="1" x14ac:dyDescent="0.4">
      <c r="A34" s="18" t="s">
        <v>4</v>
      </c>
      <c r="B34" s="17" t="s">
        <v>21</v>
      </c>
      <c r="C34" s="17"/>
      <c r="D34" s="17"/>
      <c r="E34" s="21"/>
      <c r="F34" s="21"/>
      <c r="G34" s="22"/>
      <c r="H34" s="22"/>
      <c r="I34" s="23"/>
      <c r="J34" s="23"/>
      <c r="K34" s="23"/>
      <c r="L34" s="23"/>
      <c r="M34" s="21"/>
      <c r="N34" s="21"/>
      <c r="O34" s="22"/>
      <c r="P34" s="22"/>
    </row>
    <row r="35" spans="1:16" ht="28.95" customHeight="1" x14ac:dyDescent="0.55000000000000004">
      <c r="A35" s="17" t="s">
        <v>22</v>
      </c>
      <c r="B35" s="29" t="s">
        <v>21</v>
      </c>
      <c r="C35" s="26">
        <v>2.44</v>
      </c>
      <c r="D35" s="26">
        <v>1.83</v>
      </c>
      <c r="E35" s="23"/>
      <c r="F35" s="23"/>
      <c r="G35" s="23"/>
      <c r="H35" s="23"/>
      <c r="I35" s="24"/>
      <c r="J35" s="24"/>
      <c r="K35" s="24"/>
      <c r="L35" s="24"/>
      <c r="M35" s="23"/>
      <c r="N35" s="23"/>
      <c r="O35" s="23"/>
      <c r="P35" s="23"/>
    </row>
    <row r="36" spans="1:16" ht="28.95" customHeight="1" x14ac:dyDescent="0.4">
      <c r="A36" s="24"/>
      <c r="B36" s="24"/>
      <c r="C36" s="24"/>
      <c r="D36" s="24"/>
      <c r="E36" s="23"/>
      <c r="F36" s="23"/>
      <c r="G36" s="23"/>
      <c r="H36" s="23"/>
      <c r="I36" s="24"/>
      <c r="J36" s="24"/>
      <c r="K36" s="24"/>
      <c r="L36" s="24"/>
      <c r="M36" s="23"/>
      <c r="N36" s="23"/>
      <c r="O36" s="23"/>
      <c r="P36" s="23"/>
    </row>
  </sheetData>
  <mergeCells count="13">
    <mergeCell ref="A1:P1"/>
    <mergeCell ref="H3:H4"/>
    <mergeCell ref="P3:P4"/>
    <mergeCell ref="I2:P2"/>
    <mergeCell ref="A2:H2"/>
    <mergeCell ref="I3:I4"/>
    <mergeCell ref="J3:J4"/>
    <mergeCell ref="K3:K4"/>
    <mergeCell ref="L3:L4"/>
    <mergeCell ref="A3:A4"/>
    <mergeCell ref="B3:B4"/>
    <mergeCell ref="C3:C4"/>
    <mergeCell ref="D3:D4"/>
  </mergeCells>
  <pageMargins left="0" right="0" top="0" bottom="0" header="0" footer="0"/>
  <pageSetup paperSize="9" scale="5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7842B-15B9-447C-AB98-7238A060BA3A}">
  <sheetPr codeName="Planilha4">
    <pageSetUpPr fitToPage="1"/>
  </sheetPr>
  <dimension ref="A1:K102"/>
  <sheetViews>
    <sheetView zoomScale="70" zoomScaleNormal="70" workbookViewId="0">
      <selection activeCell="O7" sqref="O7"/>
    </sheetView>
  </sheetViews>
  <sheetFormatPr defaultRowHeight="14.4" x14ac:dyDescent="0.3"/>
  <cols>
    <col min="1" max="1" width="42.6640625" bestFit="1" customWidth="1"/>
    <col min="2" max="2" width="20.33203125" customWidth="1"/>
    <col min="3" max="3" width="14" customWidth="1"/>
    <col min="4" max="4" width="13.109375" customWidth="1"/>
    <col min="5" max="5" width="13.44140625" customWidth="1"/>
    <col min="6" max="6" width="22.88671875" customWidth="1"/>
    <col min="7" max="7" width="28.44140625" customWidth="1"/>
    <col min="8" max="8" width="12.88671875" customWidth="1"/>
    <col min="9" max="9" width="30.44140625" customWidth="1"/>
  </cols>
  <sheetData>
    <row r="1" spans="1:11" ht="49.5" customHeight="1" x14ac:dyDescent="0.65">
      <c r="A1" s="37" t="s">
        <v>76</v>
      </c>
      <c r="B1" s="38"/>
      <c r="C1" s="38"/>
      <c r="D1" s="37"/>
      <c r="E1" s="37"/>
      <c r="F1" s="37"/>
      <c r="G1" s="37"/>
      <c r="H1" s="37"/>
      <c r="I1" s="37"/>
    </row>
    <row r="2" spans="1:11" ht="49.5" customHeight="1" x14ac:dyDescent="0.85">
      <c r="A2" s="39" t="s">
        <v>29</v>
      </c>
      <c r="B2" s="40"/>
      <c r="C2" s="40"/>
      <c r="D2" s="40"/>
      <c r="E2" s="40"/>
      <c r="F2" s="40"/>
      <c r="G2" s="40"/>
      <c r="H2" s="40"/>
      <c r="I2" s="41"/>
    </row>
    <row r="3" spans="1:11" ht="21.9" customHeight="1" x14ac:dyDescent="0.3">
      <c r="A3" s="42" t="s">
        <v>1</v>
      </c>
      <c r="B3" s="42" t="s">
        <v>0</v>
      </c>
      <c r="C3" s="42" t="s">
        <v>15</v>
      </c>
      <c r="D3" s="42" t="s">
        <v>14</v>
      </c>
      <c r="E3" s="42" t="s">
        <v>23</v>
      </c>
      <c r="F3" s="12" t="s">
        <v>3</v>
      </c>
      <c r="G3" s="13" t="s">
        <v>3</v>
      </c>
      <c r="H3" s="42" t="s">
        <v>2</v>
      </c>
      <c r="I3" s="12" t="s">
        <v>10</v>
      </c>
    </row>
    <row r="4" spans="1:11" ht="21.9" customHeight="1" x14ac:dyDescent="0.3">
      <c r="A4" s="43"/>
      <c r="B4" s="43"/>
      <c r="C4" s="43"/>
      <c r="D4" s="43"/>
      <c r="E4" s="43"/>
      <c r="F4" s="6" t="s">
        <v>24</v>
      </c>
      <c r="G4" s="6" t="s">
        <v>13</v>
      </c>
      <c r="H4" s="43"/>
      <c r="I4" s="6" t="s">
        <v>11</v>
      </c>
    </row>
    <row r="5" spans="1:11" ht="40.200000000000003" customHeight="1" x14ac:dyDescent="0.5">
      <c r="A5" s="4" t="s">
        <v>5</v>
      </c>
      <c r="B5" s="4" t="s">
        <v>26</v>
      </c>
      <c r="C5" s="4">
        <v>2.2000000000000002</v>
      </c>
      <c r="D5" s="4">
        <v>1.605</v>
      </c>
      <c r="E5" s="4">
        <f t="shared" ref="E5:E76" si="0">(C5*D5)</f>
        <v>3.5310000000000001</v>
      </c>
      <c r="F5" s="5">
        <v>28.99</v>
      </c>
      <c r="G5" s="5">
        <f t="shared" ref="G5:G76" si="1">E5*F5</f>
        <v>102.36369000000001</v>
      </c>
      <c r="H5" s="2"/>
      <c r="I5" s="5">
        <f t="shared" ref="I5:I68" si="2">H5*G5</f>
        <v>0</v>
      </c>
    </row>
    <row r="6" spans="1:11" ht="40.200000000000003" customHeight="1" x14ac:dyDescent="0.5">
      <c r="A6" s="4" t="s">
        <v>5</v>
      </c>
      <c r="B6" s="4" t="s">
        <v>26</v>
      </c>
      <c r="C6" s="4">
        <v>2.4</v>
      </c>
      <c r="D6" s="4">
        <v>1.605</v>
      </c>
      <c r="E6" s="4">
        <f t="shared" si="0"/>
        <v>3.8519999999999999</v>
      </c>
      <c r="F6" s="5">
        <v>28.99</v>
      </c>
      <c r="G6" s="5">
        <f t="shared" si="1"/>
        <v>111.66947999999999</v>
      </c>
      <c r="H6" s="2"/>
      <c r="I6" s="5">
        <f t="shared" si="2"/>
        <v>0</v>
      </c>
    </row>
    <row r="7" spans="1:11" ht="40.200000000000003" customHeight="1" x14ac:dyDescent="0.5">
      <c r="A7" s="4" t="s">
        <v>5</v>
      </c>
      <c r="B7" s="4" t="s">
        <v>26</v>
      </c>
      <c r="C7" s="4">
        <v>2.4</v>
      </c>
      <c r="D7" s="4">
        <v>3.21</v>
      </c>
      <c r="E7" s="4">
        <f t="shared" si="0"/>
        <v>7.7039999999999997</v>
      </c>
      <c r="F7" s="5">
        <v>28.99</v>
      </c>
      <c r="G7" s="5">
        <f t="shared" si="1"/>
        <v>223.33895999999999</v>
      </c>
      <c r="H7" s="2"/>
      <c r="I7" s="5">
        <f t="shared" si="2"/>
        <v>0</v>
      </c>
    </row>
    <row r="8" spans="1:11" ht="39.9" customHeight="1" x14ac:dyDescent="0.5">
      <c r="A8" s="4" t="s">
        <v>5</v>
      </c>
      <c r="B8" s="4" t="s">
        <v>27</v>
      </c>
      <c r="C8" s="4">
        <v>2.4</v>
      </c>
      <c r="D8" s="4">
        <v>3.21</v>
      </c>
      <c r="E8" s="4">
        <f t="shared" si="0"/>
        <v>7.7039999999999997</v>
      </c>
      <c r="F8" s="10">
        <v>29.5</v>
      </c>
      <c r="G8" s="5">
        <f t="shared" si="1"/>
        <v>227.268</v>
      </c>
      <c r="H8" s="2"/>
      <c r="I8" s="5">
        <f t="shared" si="2"/>
        <v>0</v>
      </c>
    </row>
    <row r="9" spans="1:11" ht="40.200000000000003" customHeight="1" x14ac:dyDescent="0.5">
      <c r="A9" s="4" t="s">
        <v>5</v>
      </c>
      <c r="B9" s="4" t="s">
        <v>27</v>
      </c>
      <c r="C9" s="4">
        <v>2.4</v>
      </c>
      <c r="D9" s="4">
        <v>1.8</v>
      </c>
      <c r="E9" s="4">
        <f t="shared" si="0"/>
        <v>4.32</v>
      </c>
      <c r="F9" s="10">
        <v>29.5</v>
      </c>
      <c r="G9" s="5">
        <f t="shared" si="1"/>
        <v>127.44000000000001</v>
      </c>
      <c r="H9" s="2"/>
      <c r="I9" s="5">
        <f t="shared" si="2"/>
        <v>0</v>
      </c>
    </row>
    <row r="10" spans="1:11" ht="40.200000000000003" customHeight="1" x14ac:dyDescent="0.5">
      <c r="A10" s="4" t="s">
        <v>5</v>
      </c>
      <c r="B10" s="4" t="s">
        <v>27</v>
      </c>
      <c r="C10" s="4">
        <v>2.4</v>
      </c>
      <c r="D10" s="4">
        <v>1.605</v>
      </c>
      <c r="E10" s="4">
        <f t="shared" si="0"/>
        <v>3.8519999999999999</v>
      </c>
      <c r="F10" s="10">
        <v>29.5</v>
      </c>
      <c r="G10" s="5">
        <f t="shared" si="1"/>
        <v>113.634</v>
      </c>
      <c r="H10" s="2"/>
      <c r="I10" s="5">
        <f t="shared" si="2"/>
        <v>0</v>
      </c>
    </row>
    <row r="11" spans="1:11" ht="39" customHeight="1" x14ac:dyDescent="0.7">
      <c r="A11" s="4" t="s">
        <v>5</v>
      </c>
      <c r="B11" s="4" t="s">
        <v>6</v>
      </c>
      <c r="C11" s="4">
        <v>2.4</v>
      </c>
      <c r="D11" s="4">
        <v>3.21</v>
      </c>
      <c r="E11" s="4">
        <f t="shared" si="0"/>
        <v>7.7039999999999997</v>
      </c>
      <c r="F11" s="10">
        <v>37.5</v>
      </c>
      <c r="G11" s="5">
        <f t="shared" si="1"/>
        <v>288.89999999999998</v>
      </c>
      <c r="H11" s="2"/>
      <c r="I11" s="5">
        <f t="shared" si="2"/>
        <v>0</v>
      </c>
      <c r="J11" s="8"/>
      <c r="K11" s="1"/>
    </row>
    <row r="12" spans="1:11" ht="40.200000000000003" customHeight="1" x14ac:dyDescent="0.7">
      <c r="A12" s="4" t="s">
        <v>5</v>
      </c>
      <c r="B12" s="4" t="s">
        <v>6</v>
      </c>
      <c r="C12" s="4">
        <v>2.4</v>
      </c>
      <c r="D12" s="4">
        <v>1.605</v>
      </c>
      <c r="E12" s="4">
        <f t="shared" si="0"/>
        <v>3.8519999999999999</v>
      </c>
      <c r="F12" s="10">
        <v>37.5</v>
      </c>
      <c r="G12" s="5">
        <f t="shared" si="1"/>
        <v>144.44999999999999</v>
      </c>
      <c r="H12" s="2"/>
      <c r="I12" s="5">
        <f t="shared" si="2"/>
        <v>0</v>
      </c>
      <c r="J12" s="8"/>
      <c r="K12" s="1"/>
    </row>
    <row r="13" spans="1:11" ht="40.200000000000003" customHeight="1" x14ac:dyDescent="0.7">
      <c r="A13" s="4" t="s">
        <v>5</v>
      </c>
      <c r="B13" s="4" t="s">
        <v>6</v>
      </c>
      <c r="C13" s="4">
        <v>2.5499999999999998</v>
      </c>
      <c r="D13" s="4">
        <v>1.605</v>
      </c>
      <c r="E13" s="4">
        <f t="shared" si="0"/>
        <v>4.0927499999999997</v>
      </c>
      <c r="F13" s="10">
        <v>37.5</v>
      </c>
      <c r="G13" s="5">
        <f t="shared" si="1"/>
        <v>153.47812499999998</v>
      </c>
      <c r="H13" s="2"/>
      <c r="I13" s="5">
        <f t="shared" si="2"/>
        <v>0</v>
      </c>
      <c r="J13" s="8"/>
      <c r="K13" s="1"/>
    </row>
    <row r="14" spans="1:11" ht="40.200000000000003" customHeight="1" x14ac:dyDescent="0.5">
      <c r="A14" s="4" t="s">
        <v>5</v>
      </c>
      <c r="B14" s="4" t="s">
        <v>16</v>
      </c>
      <c r="C14" s="4">
        <v>2.4</v>
      </c>
      <c r="D14" s="4">
        <v>1.8</v>
      </c>
      <c r="E14" s="4">
        <f t="shared" si="0"/>
        <v>4.32</v>
      </c>
      <c r="F14" s="3">
        <v>47.5</v>
      </c>
      <c r="G14" s="5">
        <f t="shared" si="1"/>
        <v>205.20000000000002</v>
      </c>
      <c r="H14" s="2"/>
      <c r="I14" s="5">
        <f t="shared" si="2"/>
        <v>0</v>
      </c>
      <c r="J14" s="1"/>
      <c r="K14" s="1"/>
    </row>
    <row r="15" spans="1:11" ht="40.200000000000003" customHeight="1" x14ac:dyDescent="0.5">
      <c r="A15" s="4" t="s">
        <v>5</v>
      </c>
      <c r="B15" s="4" t="s">
        <v>16</v>
      </c>
      <c r="C15" s="4">
        <v>2.2000000000000002</v>
      </c>
      <c r="D15" s="4">
        <v>3.21</v>
      </c>
      <c r="E15" s="4">
        <f t="shared" si="0"/>
        <v>7.0620000000000003</v>
      </c>
      <c r="F15" s="3">
        <v>47.5</v>
      </c>
      <c r="G15" s="5">
        <f t="shared" si="1"/>
        <v>335.44499999999999</v>
      </c>
      <c r="H15" s="2"/>
      <c r="I15" s="5">
        <f t="shared" si="2"/>
        <v>0</v>
      </c>
      <c r="J15" s="1"/>
      <c r="K15" s="1"/>
    </row>
    <row r="16" spans="1:11" ht="40.200000000000003" customHeight="1" x14ac:dyDescent="0.5">
      <c r="A16" s="4" t="s">
        <v>5</v>
      </c>
      <c r="B16" s="4" t="s">
        <v>16</v>
      </c>
      <c r="C16" s="4">
        <v>2.2000000000000002</v>
      </c>
      <c r="D16" s="4">
        <v>1.605</v>
      </c>
      <c r="E16" s="4">
        <f t="shared" si="0"/>
        <v>3.5310000000000001</v>
      </c>
      <c r="F16" s="3">
        <v>47.5</v>
      </c>
      <c r="G16" s="5">
        <f t="shared" si="1"/>
        <v>167.7225</v>
      </c>
      <c r="H16" s="2"/>
      <c r="I16" s="5">
        <f t="shared" si="2"/>
        <v>0</v>
      </c>
      <c r="J16" s="1"/>
      <c r="K16" s="1"/>
    </row>
    <row r="17" spans="1:11" ht="39" customHeight="1" x14ac:dyDescent="0.5">
      <c r="A17" s="4" t="s">
        <v>5</v>
      </c>
      <c r="B17" s="4" t="s">
        <v>8</v>
      </c>
      <c r="C17" s="4">
        <v>2.4</v>
      </c>
      <c r="D17" s="4">
        <v>1.605</v>
      </c>
      <c r="E17" s="4">
        <f t="shared" si="0"/>
        <v>3.8519999999999999</v>
      </c>
      <c r="F17" s="3">
        <v>57.4</v>
      </c>
      <c r="G17" s="5">
        <f t="shared" si="1"/>
        <v>221.10479999999998</v>
      </c>
      <c r="H17" s="2"/>
      <c r="I17" s="5">
        <f t="shared" si="2"/>
        <v>0</v>
      </c>
      <c r="J17" s="1"/>
      <c r="K17" s="1"/>
    </row>
    <row r="18" spans="1:11" ht="39.9" customHeight="1" x14ac:dyDescent="0.5">
      <c r="A18" s="4" t="s">
        <v>5</v>
      </c>
      <c r="B18" s="4" t="s">
        <v>8</v>
      </c>
      <c r="C18" s="4">
        <v>2.4</v>
      </c>
      <c r="D18" s="4">
        <v>3.21</v>
      </c>
      <c r="E18" s="4">
        <f t="shared" si="0"/>
        <v>7.7039999999999997</v>
      </c>
      <c r="F18" s="3">
        <v>57.4</v>
      </c>
      <c r="G18" s="5">
        <f t="shared" si="1"/>
        <v>442.20959999999997</v>
      </c>
      <c r="H18" s="2"/>
      <c r="I18" s="5">
        <f t="shared" si="2"/>
        <v>0</v>
      </c>
      <c r="J18" s="1"/>
      <c r="K18" s="1"/>
    </row>
    <row r="19" spans="1:11" ht="39.9" customHeight="1" x14ac:dyDescent="0.5">
      <c r="A19" s="4" t="s">
        <v>5</v>
      </c>
      <c r="B19" s="4" t="s">
        <v>8</v>
      </c>
      <c r="C19" s="4">
        <v>2.4</v>
      </c>
      <c r="D19" s="4">
        <v>3.6</v>
      </c>
      <c r="E19" s="4">
        <f t="shared" si="0"/>
        <v>8.64</v>
      </c>
      <c r="F19" s="3">
        <v>57.4</v>
      </c>
      <c r="G19" s="5">
        <f t="shared" si="1"/>
        <v>495.93600000000004</v>
      </c>
      <c r="H19" s="2"/>
      <c r="I19" s="5">
        <f t="shared" si="2"/>
        <v>0</v>
      </c>
      <c r="J19" s="1"/>
      <c r="K19" s="1"/>
    </row>
    <row r="20" spans="1:11" ht="39" customHeight="1" x14ac:dyDescent="0.5">
      <c r="A20" s="4" t="s">
        <v>5</v>
      </c>
      <c r="B20" s="4" t="s">
        <v>8</v>
      </c>
      <c r="C20" s="4">
        <v>2.4</v>
      </c>
      <c r="D20" s="4">
        <v>1.8</v>
      </c>
      <c r="E20" s="4">
        <f t="shared" si="0"/>
        <v>4.32</v>
      </c>
      <c r="F20" s="3">
        <v>57.4</v>
      </c>
      <c r="G20" s="5">
        <f t="shared" si="1"/>
        <v>247.96800000000002</v>
      </c>
      <c r="H20" s="2"/>
      <c r="I20" s="5">
        <f t="shared" si="2"/>
        <v>0</v>
      </c>
      <c r="J20" s="1"/>
      <c r="K20" s="1"/>
    </row>
    <row r="21" spans="1:11" ht="39" customHeight="1" x14ac:dyDescent="0.5">
      <c r="A21" s="4" t="s">
        <v>5</v>
      </c>
      <c r="B21" s="4" t="s">
        <v>12</v>
      </c>
      <c r="C21" s="4">
        <v>2.4</v>
      </c>
      <c r="D21" s="4">
        <v>3.6</v>
      </c>
      <c r="E21" s="4">
        <f t="shared" si="0"/>
        <v>8.64</v>
      </c>
      <c r="F21" s="10">
        <v>79</v>
      </c>
      <c r="G21" s="5">
        <f t="shared" si="1"/>
        <v>682.56000000000006</v>
      </c>
      <c r="H21" s="2"/>
      <c r="I21" s="5">
        <f t="shared" si="2"/>
        <v>0</v>
      </c>
      <c r="J21" s="1"/>
      <c r="K21" s="1"/>
    </row>
    <row r="22" spans="1:11" ht="39.9" customHeight="1" x14ac:dyDescent="0.5">
      <c r="A22" s="4" t="s">
        <v>5</v>
      </c>
      <c r="B22" s="4" t="s">
        <v>12</v>
      </c>
      <c r="C22" s="4">
        <v>2.4</v>
      </c>
      <c r="D22" s="4">
        <v>1.8</v>
      </c>
      <c r="E22" s="4">
        <f t="shared" si="0"/>
        <v>4.32</v>
      </c>
      <c r="F22" s="10">
        <v>79</v>
      </c>
      <c r="G22" s="5">
        <f t="shared" si="1"/>
        <v>341.28000000000003</v>
      </c>
      <c r="H22" s="2"/>
      <c r="I22" s="5">
        <f t="shared" si="2"/>
        <v>0</v>
      </c>
      <c r="J22" s="1"/>
      <c r="K22" s="1"/>
    </row>
    <row r="23" spans="1:11" ht="39.9" customHeight="1" x14ac:dyDescent="0.5">
      <c r="A23" s="4" t="s">
        <v>5</v>
      </c>
      <c r="B23" s="4" t="s">
        <v>12</v>
      </c>
      <c r="C23" s="4">
        <v>2.4</v>
      </c>
      <c r="D23" s="4">
        <v>1.605</v>
      </c>
      <c r="E23" s="4">
        <f t="shared" si="0"/>
        <v>3.8519999999999999</v>
      </c>
      <c r="F23" s="10">
        <v>79</v>
      </c>
      <c r="G23" s="5">
        <f t="shared" si="1"/>
        <v>304.30799999999999</v>
      </c>
      <c r="H23" s="2"/>
      <c r="I23" s="5">
        <f t="shared" si="2"/>
        <v>0</v>
      </c>
      <c r="J23" s="1"/>
      <c r="K23" s="1"/>
    </row>
    <row r="24" spans="1:11" ht="39.9" customHeight="1" x14ac:dyDescent="0.5">
      <c r="A24" s="4" t="s">
        <v>5</v>
      </c>
      <c r="B24" s="4" t="s">
        <v>12</v>
      </c>
      <c r="C24" s="4">
        <v>2.4</v>
      </c>
      <c r="D24" s="4">
        <v>3.21</v>
      </c>
      <c r="E24" s="4">
        <f t="shared" si="0"/>
        <v>7.7039999999999997</v>
      </c>
      <c r="F24" s="10">
        <v>79</v>
      </c>
      <c r="G24" s="5">
        <f t="shared" si="1"/>
        <v>608.61599999999999</v>
      </c>
      <c r="H24" s="2"/>
      <c r="I24" s="5">
        <f t="shared" si="2"/>
        <v>0</v>
      </c>
      <c r="J24" s="1"/>
      <c r="K24" s="1"/>
    </row>
    <row r="25" spans="1:11" ht="39.6" customHeight="1" x14ac:dyDescent="0.5">
      <c r="A25" s="4" t="s">
        <v>5</v>
      </c>
      <c r="B25" s="4" t="s">
        <v>17</v>
      </c>
      <c r="C25" s="4">
        <v>2.4</v>
      </c>
      <c r="D25" s="4">
        <v>3.21</v>
      </c>
      <c r="E25" s="4">
        <f t="shared" si="0"/>
        <v>7.7039999999999997</v>
      </c>
      <c r="F25" s="3">
        <v>104</v>
      </c>
      <c r="G25" s="5">
        <f t="shared" si="1"/>
        <v>801.21600000000001</v>
      </c>
      <c r="H25" s="2"/>
      <c r="I25" s="5">
        <f t="shared" si="2"/>
        <v>0</v>
      </c>
      <c r="J25" s="1"/>
      <c r="K25" s="1"/>
    </row>
    <row r="26" spans="1:11" ht="39.6" customHeight="1" x14ac:dyDescent="0.5">
      <c r="A26" s="4" t="s">
        <v>5</v>
      </c>
      <c r="B26" s="4" t="s">
        <v>17</v>
      </c>
      <c r="C26" s="4">
        <v>2.2000000000000002</v>
      </c>
      <c r="D26" s="4">
        <v>1.605</v>
      </c>
      <c r="E26" s="4">
        <f t="shared" si="0"/>
        <v>3.5310000000000001</v>
      </c>
      <c r="F26" s="3">
        <v>104</v>
      </c>
      <c r="G26" s="5">
        <f t="shared" si="1"/>
        <v>367.22399999999999</v>
      </c>
      <c r="H26" s="2"/>
      <c r="I26" s="5">
        <f t="shared" si="2"/>
        <v>0</v>
      </c>
      <c r="J26" s="1"/>
      <c r="K26" s="1"/>
    </row>
    <row r="27" spans="1:11" ht="39.9" customHeight="1" x14ac:dyDescent="0.5">
      <c r="A27" s="4" t="s">
        <v>5</v>
      </c>
      <c r="B27" s="4" t="s">
        <v>17</v>
      </c>
      <c r="C27" s="4">
        <v>2.4</v>
      </c>
      <c r="D27" s="4">
        <v>3.21</v>
      </c>
      <c r="E27" s="4">
        <f t="shared" si="0"/>
        <v>7.7039999999999997</v>
      </c>
      <c r="F27" s="3">
        <v>104</v>
      </c>
      <c r="G27" s="5">
        <f t="shared" si="1"/>
        <v>801.21600000000001</v>
      </c>
      <c r="H27" s="2"/>
      <c r="I27" s="5">
        <f t="shared" si="2"/>
        <v>0</v>
      </c>
      <c r="J27" s="1"/>
      <c r="K27" s="1"/>
    </row>
    <row r="28" spans="1:11" ht="39.9" customHeight="1" x14ac:dyDescent="0.5">
      <c r="A28" s="4" t="s">
        <v>5</v>
      </c>
      <c r="B28" s="4" t="s">
        <v>17</v>
      </c>
      <c r="C28" s="4">
        <v>2.4</v>
      </c>
      <c r="D28" s="4">
        <v>1.605</v>
      </c>
      <c r="E28" s="4">
        <f t="shared" si="0"/>
        <v>3.8519999999999999</v>
      </c>
      <c r="F28" s="3">
        <v>104</v>
      </c>
      <c r="G28" s="5">
        <f t="shared" si="1"/>
        <v>400.608</v>
      </c>
      <c r="H28" s="2"/>
      <c r="I28" s="5">
        <f t="shared" si="2"/>
        <v>0</v>
      </c>
      <c r="J28" s="1"/>
      <c r="K28" s="1"/>
    </row>
    <row r="29" spans="1:11" ht="39.9" customHeight="1" x14ac:dyDescent="0.5">
      <c r="A29" s="4" t="s">
        <v>5</v>
      </c>
      <c r="B29" s="4" t="s">
        <v>70</v>
      </c>
      <c r="C29" s="4">
        <v>2.4</v>
      </c>
      <c r="D29" s="4">
        <v>1.605</v>
      </c>
      <c r="E29" s="4">
        <f t="shared" si="0"/>
        <v>3.8519999999999999</v>
      </c>
      <c r="F29" s="3">
        <v>130</v>
      </c>
      <c r="G29" s="5">
        <f t="shared" si="1"/>
        <v>500.76</v>
      </c>
      <c r="H29" s="2"/>
      <c r="I29" s="5">
        <f t="shared" si="2"/>
        <v>0</v>
      </c>
      <c r="J29" s="1"/>
      <c r="K29" s="1"/>
    </row>
    <row r="30" spans="1:11" ht="39.9" customHeight="1" x14ac:dyDescent="0.5">
      <c r="A30" s="4" t="s">
        <v>48</v>
      </c>
      <c r="B30" s="4" t="s">
        <v>7</v>
      </c>
      <c r="C30" s="4">
        <v>2.4</v>
      </c>
      <c r="D30" s="4">
        <v>3.21</v>
      </c>
      <c r="E30" s="4">
        <f t="shared" si="0"/>
        <v>7.7039999999999997</v>
      </c>
      <c r="F30" s="5">
        <v>41.8</v>
      </c>
      <c r="G30" s="5">
        <f t="shared" si="1"/>
        <v>322.02719999999999</v>
      </c>
      <c r="H30" s="2"/>
      <c r="I30" s="5">
        <f t="shared" si="2"/>
        <v>0</v>
      </c>
      <c r="J30" s="1"/>
      <c r="K30" s="1"/>
    </row>
    <row r="31" spans="1:11" ht="39.9" customHeight="1" x14ac:dyDescent="0.5">
      <c r="A31" s="4" t="s">
        <v>48</v>
      </c>
      <c r="B31" s="4" t="s">
        <v>7</v>
      </c>
      <c r="C31" s="4">
        <v>2.4</v>
      </c>
      <c r="D31" s="4">
        <v>1.605</v>
      </c>
      <c r="E31" s="4">
        <f t="shared" si="0"/>
        <v>3.8519999999999999</v>
      </c>
      <c r="F31" s="5">
        <v>41.8</v>
      </c>
      <c r="G31" s="5">
        <f t="shared" si="1"/>
        <v>161.0136</v>
      </c>
      <c r="H31" s="2"/>
      <c r="I31" s="5">
        <f t="shared" si="2"/>
        <v>0</v>
      </c>
      <c r="J31" s="1"/>
      <c r="K31" s="1"/>
    </row>
    <row r="32" spans="1:11" ht="39.6" customHeight="1" x14ac:dyDescent="0.5">
      <c r="A32" s="4" t="s">
        <v>25</v>
      </c>
      <c r="B32" s="4" t="s">
        <v>7</v>
      </c>
      <c r="C32" s="4">
        <v>2.14</v>
      </c>
      <c r="D32" s="4">
        <v>3.05</v>
      </c>
      <c r="E32" s="4">
        <f t="shared" si="0"/>
        <v>6.5270000000000001</v>
      </c>
      <c r="F32" s="5">
        <v>64.989999999999995</v>
      </c>
      <c r="G32" s="5">
        <f t="shared" si="1"/>
        <v>424.18973</v>
      </c>
      <c r="H32" s="2"/>
      <c r="I32" s="5">
        <f t="shared" si="2"/>
        <v>0</v>
      </c>
      <c r="J32" s="1"/>
      <c r="K32" s="1"/>
    </row>
    <row r="33" spans="1:11" ht="39.9" customHeight="1" x14ac:dyDescent="0.5">
      <c r="A33" s="4" t="s">
        <v>25</v>
      </c>
      <c r="B33" s="4" t="s">
        <v>7</v>
      </c>
      <c r="C33" s="4">
        <v>2.14</v>
      </c>
      <c r="D33" s="4">
        <v>1.5249999999999999</v>
      </c>
      <c r="E33" s="4">
        <f t="shared" si="0"/>
        <v>3.2635000000000001</v>
      </c>
      <c r="F33" s="5">
        <v>64.989999999999995</v>
      </c>
      <c r="G33" s="5">
        <f t="shared" si="1"/>
        <v>212.094865</v>
      </c>
      <c r="H33" s="2"/>
      <c r="I33" s="5">
        <f t="shared" si="2"/>
        <v>0</v>
      </c>
      <c r="J33" s="1"/>
      <c r="K33" s="1"/>
    </row>
    <row r="34" spans="1:11" ht="38.4" customHeight="1" x14ac:dyDescent="0.5">
      <c r="A34" s="4" t="s">
        <v>9</v>
      </c>
      <c r="B34" s="4" t="s">
        <v>6</v>
      </c>
      <c r="C34" s="4">
        <v>2.4</v>
      </c>
      <c r="D34" s="4">
        <v>3.21</v>
      </c>
      <c r="E34" s="4">
        <f t="shared" si="0"/>
        <v>7.7039999999999997</v>
      </c>
      <c r="F34" s="3">
        <v>52.5</v>
      </c>
      <c r="G34" s="5">
        <f t="shared" si="1"/>
        <v>404.46</v>
      </c>
      <c r="H34" s="2"/>
      <c r="I34" s="5">
        <f t="shared" si="2"/>
        <v>0</v>
      </c>
      <c r="J34" s="1"/>
      <c r="K34" s="1"/>
    </row>
    <row r="35" spans="1:11" ht="39" customHeight="1" x14ac:dyDescent="0.5">
      <c r="A35" s="4" t="s">
        <v>9</v>
      </c>
      <c r="B35" s="4" t="s">
        <v>6</v>
      </c>
      <c r="C35" s="4">
        <v>2.5499999999999998</v>
      </c>
      <c r="D35" s="4">
        <v>3.21</v>
      </c>
      <c r="E35" s="4">
        <f t="shared" si="0"/>
        <v>8.1854999999999993</v>
      </c>
      <c r="F35" s="3">
        <v>52.5</v>
      </c>
      <c r="G35" s="5">
        <f t="shared" si="1"/>
        <v>429.73874999999998</v>
      </c>
      <c r="H35" s="2"/>
      <c r="I35" s="5">
        <f t="shared" si="2"/>
        <v>0</v>
      </c>
      <c r="J35" s="1"/>
      <c r="K35" s="1"/>
    </row>
    <row r="36" spans="1:11" ht="39" customHeight="1" x14ac:dyDescent="0.5">
      <c r="A36" s="4" t="s">
        <v>9</v>
      </c>
      <c r="B36" s="4" t="s">
        <v>16</v>
      </c>
      <c r="C36" s="4">
        <v>2.4</v>
      </c>
      <c r="D36" s="4">
        <v>1.605</v>
      </c>
      <c r="E36" s="4">
        <f t="shared" si="0"/>
        <v>3.8519999999999999</v>
      </c>
      <c r="F36" s="3">
        <v>67</v>
      </c>
      <c r="G36" s="5">
        <f t="shared" si="1"/>
        <v>258.084</v>
      </c>
      <c r="H36" s="2"/>
      <c r="I36" s="5">
        <f t="shared" si="2"/>
        <v>0</v>
      </c>
      <c r="J36" s="1"/>
      <c r="K36" s="1"/>
    </row>
    <row r="37" spans="1:11" ht="39.9" customHeight="1" x14ac:dyDescent="0.5">
      <c r="A37" s="4" t="s">
        <v>9</v>
      </c>
      <c r="B37" s="4" t="s">
        <v>8</v>
      </c>
      <c r="C37" s="4">
        <v>2.4</v>
      </c>
      <c r="D37" s="4">
        <v>3.6</v>
      </c>
      <c r="E37" s="4">
        <f t="shared" si="0"/>
        <v>8.64</v>
      </c>
      <c r="F37" s="3">
        <v>74.5</v>
      </c>
      <c r="G37" s="5">
        <f t="shared" si="1"/>
        <v>643.68000000000006</v>
      </c>
      <c r="H37" s="2"/>
      <c r="I37" s="5">
        <f t="shared" si="2"/>
        <v>0</v>
      </c>
      <c r="J37" s="1"/>
      <c r="K37" s="1"/>
    </row>
    <row r="38" spans="1:11" ht="39.9" customHeight="1" x14ac:dyDescent="0.5">
      <c r="A38" s="4" t="s">
        <v>9</v>
      </c>
      <c r="B38" s="4" t="s">
        <v>8</v>
      </c>
      <c r="C38" s="4">
        <v>2.4</v>
      </c>
      <c r="D38" s="4">
        <v>1.8</v>
      </c>
      <c r="E38" s="4">
        <f t="shared" si="0"/>
        <v>4.32</v>
      </c>
      <c r="F38" s="3">
        <v>74.5</v>
      </c>
      <c r="G38" s="5">
        <f t="shared" si="1"/>
        <v>321.84000000000003</v>
      </c>
      <c r="H38" s="2"/>
      <c r="I38" s="5">
        <f t="shared" si="2"/>
        <v>0</v>
      </c>
      <c r="J38" s="1"/>
      <c r="K38" s="1"/>
    </row>
    <row r="39" spans="1:11" ht="39.9" customHeight="1" x14ac:dyDescent="0.5">
      <c r="A39" s="4" t="s">
        <v>9</v>
      </c>
      <c r="B39" s="4" t="s">
        <v>12</v>
      </c>
      <c r="C39" s="4">
        <v>2.4</v>
      </c>
      <c r="D39" s="4">
        <v>3.6</v>
      </c>
      <c r="E39" s="4">
        <f t="shared" si="0"/>
        <v>8.64</v>
      </c>
      <c r="F39" s="3">
        <v>105</v>
      </c>
      <c r="G39" s="5">
        <f t="shared" si="1"/>
        <v>907.2</v>
      </c>
      <c r="H39" s="2"/>
      <c r="I39" s="5">
        <f t="shared" si="2"/>
        <v>0</v>
      </c>
      <c r="J39" s="1"/>
      <c r="K39" s="1"/>
    </row>
    <row r="40" spans="1:11" ht="39.9" customHeight="1" x14ac:dyDescent="0.5">
      <c r="A40" s="4" t="s">
        <v>9</v>
      </c>
      <c r="B40" s="4" t="s">
        <v>12</v>
      </c>
      <c r="C40" s="4">
        <v>2.4</v>
      </c>
      <c r="D40" s="4">
        <v>1.605</v>
      </c>
      <c r="E40" s="4">
        <f t="shared" si="0"/>
        <v>3.8519999999999999</v>
      </c>
      <c r="F40" s="3">
        <v>105</v>
      </c>
      <c r="G40" s="5">
        <f t="shared" si="1"/>
        <v>404.46</v>
      </c>
      <c r="H40" s="2"/>
      <c r="I40" s="5">
        <f t="shared" si="2"/>
        <v>0</v>
      </c>
      <c r="J40" s="1"/>
      <c r="K40" s="1"/>
    </row>
    <row r="41" spans="1:11" ht="39.9" customHeight="1" x14ac:dyDescent="0.5">
      <c r="A41" s="4" t="s">
        <v>9</v>
      </c>
      <c r="B41" s="4" t="s">
        <v>17</v>
      </c>
      <c r="C41" s="4">
        <v>2.4</v>
      </c>
      <c r="D41" s="4">
        <v>3.21</v>
      </c>
      <c r="E41" s="4">
        <f t="shared" si="0"/>
        <v>7.7039999999999997</v>
      </c>
      <c r="F41" s="3">
        <v>135</v>
      </c>
      <c r="G41" s="5">
        <f t="shared" si="1"/>
        <v>1040.04</v>
      </c>
      <c r="H41" s="2"/>
      <c r="I41" s="5">
        <f t="shared" si="2"/>
        <v>0</v>
      </c>
      <c r="J41" s="1"/>
      <c r="K41" s="1"/>
    </row>
    <row r="42" spans="1:11" ht="39" customHeight="1" x14ac:dyDescent="0.5">
      <c r="A42" s="4" t="s">
        <v>39</v>
      </c>
      <c r="B42" s="4" t="s">
        <v>6</v>
      </c>
      <c r="C42" s="4">
        <v>2.4</v>
      </c>
      <c r="D42" s="4">
        <v>1.605</v>
      </c>
      <c r="E42" s="4">
        <f t="shared" si="0"/>
        <v>3.8519999999999999</v>
      </c>
      <c r="F42" s="3">
        <v>52.5</v>
      </c>
      <c r="G42" s="5">
        <f t="shared" si="1"/>
        <v>202.23</v>
      </c>
      <c r="H42" s="2"/>
      <c r="I42" s="5">
        <f t="shared" si="2"/>
        <v>0</v>
      </c>
      <c r="J42" s="1"/>
      <c r="K42" s="1"/>
    </row>
    <row r="43" spans="1:11" ht="39" customHeight="1" x14ac:dyDescent="0.5">
      <c r="A43" s="4" t="s">
        <v>39</v>
      </c>
      <c r="B43" s="4" t="s">
        <v>6</v>
      </c>
      <c r="C43" s="4">
        <v>2.4</v>
      </c>
      <c r="D43" s="4">
        <v>3.21</v>
      </c>
      <c r="E43" s="4">
        <f t="shared" si="0"/>
        <v>7.7039999999999997</v>
      </c>
      <c r="F43" s="3">
        <v>52.5</v>
      </c>
      <c r="G43" s="5">
        <f t="shared" si="1"/>
        <v>404.46</v>
      </c>
      <c r="H43" s="2"/>
      <c r="I43" s="5">
        <f t="shared" si="2"/>
        <v>0</v>
      </c>
      <c r="J43" s="1"/>
      <c r="K43" s="1"/>
    </row>
    <row r="44" spans="1:11" ht="39" customHeight="1" x14ac:dyDescent="0.5">
      <c r="A44" s="4" t="s">
        <v>39</v>
      </c>
      <c r="B44" s="4" t="s">
        <v>16</v>
      </c>
      <c r="C44" s="4">
        <v>2.4</v>
      </c>
      <c r="D44" s="4">
        <v>1.605</v>
      </c>
      <c r="E44" s="4">
        <f t="shared" si="0"/>
        <v>3.8519999999999999</v>
      </c>
      <c r="F44" s="3">
        <v>67</v>
      </c>
      <c r="G44" s="5">
        <f t="shared" si="1"/>
        <v>258.084</v>
      </c>
      <c r="H44" s="2"/>
      <c r="I44" s="5">
        <f t="shared" si="2"/>
        <v>0</v>
      </c>
      <c r="J44" s="1"/>
      <c r="K44" s="1"/>
    </row>
    <row r="45" spans="1:11" ht="39" customHeight="1" x14ac:dyDescent="0.5">
      <c r="A45" s="4" t="s">
        <v>39</v>
      </c>
      <c r="B45" s="4" t="s">
        <v>8</v>
      </c>
      <c r="C45" s="4">
        <v>2.4</v>
      </c>
      <c r="D45" s="4">
        <v>3.21</v>
      </c>
      <c r="E45" s="4">
        <f t="shared" si="0"/>
        <v>7.7039999999999997</v>
      </c>
      <c r="F45" s="3">
        <v>74.5</v>
      </c>
      <c r="G45" s="5">
        <f t="shared" si="1"/>
        <v>573.94799999999998</v>
      </c>
      <c r="H45" s="2"/>
      <c r="I45" s="5">
        <f t="shared" si="2"/>
        <v>0</v>
      </c>
      <c r="J45" s="1"/>
      <c r="K45" s="1"/>
    </row>
    <row r="46" spans="1:11" ht="39" customHeight="1" x14ac:dyDescent="0.5">
      <c r="A46" s="4" t="s">
        <v>39</v>
      </c>
      <c r="B46" s="4" t="s">
        <v>8</v>
      </c>
      <c r="C46" s="4">
        <v>2.4</v>
      </c>
      <c r="D46" s="4">
        <v>1.605</v>
      </c>
      <c r="E46" s="4">
        <f t="shared" si="0"/>
        <v>3.8519999999999999</v>
      </c>
      <c r="F46" s="3">
        <v>74.5</v>
      </c>
      <c r="G46" s="5">
        <f t="shared" si="1"/>
        <v>286.97399999999999</v>
      </c>
      <c r="H46" s="2"/>
      <c r="I46" s="5">
        <f t="shared" si="2"/>
        <v>0</v>
      </c>
      <c r="J46" s="1"/>
      <c r="K46" s="1"/>
    </row>
    <row r="47" spans="1:11" ht="39.9" customHeight="1" x14ac:dyDescent="0.5">
      <c r="A47" s="4" t="s">
        <v>39</v>
      </c>
      <c r="B47" s="4" t="s">
        <v>12</v>
      </c>
      <c r="C47" s="4">
        <v>2.4</v>
      </c>
      <c r="D47" s="4">
        <v>1.605</v>
      </c>
      <c r="E47" s="4">
        <f t="shared" si="0"/>
        <v>3.8519999999999999</v>
      </c>
      <c r="F47" s="3">
        <v>105</v>
      </c>
      <c r="G47" s="5">
        <f t="shared" si="1"/>
        <v>404.46</v>
      </c>
      <c r="H47" s="2"/>
      <c r="I47" s="5">
        <f t="shared" si="2"/>
        <v>0</v>
      </c>
      <c r="J47" s="1"/>
      <c r="K47" s="1"/>
    </row>
    <row r="48" spans="1:11" ht="39.9" customHeight="1" x14ac:dyDescent="0.5">
      <c r="A48" s="4" t="s">
        <v>39</v>
      </c>
      <c r="B48" s="4" t="s">
        <v>12</v>
      </c>
      <c r="C48" s="4">
        <v>2.4</v>
      </c>
      <c r="D48" s="4">
        <v>3.21</v>
      </c>
      <c r="E48" s="4">
        <f t="shared" si="0"/>
        <v>7.7039999999999997</v>
      </c>
      <c r="F48" s="3">
        <v>105</v>
      </c>
      <c r="G48" s="5">
        <f t="shared" si="1"/>
        <v>808.92</v>
      </c>
      <c r="H48" s="2"/>
      <c r="I48" s="5">
        <f t="shared" si="2"/>
        <v>0</v>
      </c>
      <c r="J48" s="1"/>
      <c r="K48" s="1"/>
    </row>
    <row r="49" spans="1:11" ht="39.9" customHeight="1" x14ac:dyDescent="0.5">
      <c r="A49" s="4" t="s">
        <v>39</v>
      </c>
      <c r="B49" s="4" t="s">
        <v>17</v>
      </c>
      <c r="C49" s="4">
        <v>2.4</v>
      </c>
      <c r="D49" s="4">
        <v>3.6</v>
      </c>
      <c r="E49" s="4">
        <f t="shared" si="0"/>
        <v>8.64</v>
      </c>
      <c r="F49" s="3">
        <v>135</v>
      </c>
      <c r="G49" s="5">
        <f t="shared" si="1"/>
        <v>1166.4000000000001</v>
      </c>
      <c r="H49" s="2"/>
      <c r="I49" s="5">
        <f t="shared" si="2"/>
        <v>0</v>
      </c>
      <c r="J49" s="1"/>
      <c r="K49" s="1"/>
    </row>
    <row r="50" spans="1:11" ht="39.9" customHeight="1" x14ac:dyDescent="0.5">
      <c r="A50" s="4" t="s">
        <v>31</v>
      </c>
      <c r="B50" s="4" t="s">
        <v>28</v>
      </c>
      <c r="C50" s="4">
        <v>2.2000000000000002</v>
      </c>
      <c r="D50" s="4">
        <v>1.605</v>
      </c>
      <c r="E50" s="4">
        <f t="shared" si="0"/>
        <v>3.5310000000000001</v>
      </c>
      <c r="F50" s="3">
        <v>49</v>
      </c>
      <c r="G50" s="5">
        <f t="shared" si="1"/>
        <v>173.01900000000001</v>
      </c>
      <c r="H50" s="2"/>
      <c r="I50" s="5">
        <f t="shared" si="2"/>
        <v>0</v>
      </c>
      <c r="J50" s="1"/>
      <c r="K50" s="1"/>
    </row>
    <row r="51" spans="1:11" ht="40.200000000000003" customHeight="1" x14ac:dyDescent="0.5">
      <c r="A51" s="4" t="s">
        <v>49</v>
      </c>
      <c r="B51" s="4" t="s">
        <v>7</v>
      </c>
      <c r="C51" s="4">
        <v>2.4</v>
      </c>
      <c r="D51" s="4">
        <v>1.605</v>
      </c>
      <c r="E51" s="4">
        <f t="shared" si="0"/>
        <v>3.8519999999999999</v>
      </c>
      <c r="F51" s="3">
        <v>53.99</v>
      </c>
      <c r="G51" s="5">
        <f t="shared" si="1"/>
        <v>207.96948</v>
      </c>
      <c r="H51" s="2"/>
      <c r="I51" s="5">
        <f t="shared" si="2"/>
        <v>0</v>
      </c>
      <c r="J51" s="1"/>
      <c r="K51" s="1"/>
    </row>
    <row r="52" spans="1:11" ht="39.9" customHeight="1" x14ac:dyDescent="0.5">
      <c r="A52" s="4" t="s">
        <v>49</v>
      </c>
      <c r="B52" s="4" t="s">
        <v>7</v>
      </c>
      <c r="C52" s="4">
        <v>2.4</v>
      </c>
      <c r="D52" s="4">
        <v>3.21</v>
      </c>
      <c r="E52" s="4">
        <f t="shared" si="0"/>
        <v>7.7039999999999997</v>
      </c>
      <c r="F52" s="3">
        <v>53.99</v>
      </c>
      <c r="G52" s="5">
        <f t="shared" si="1"/>
        <v>415.93896000000001</v>
      </c>
      <c r="H52" s="2"/>
      <c r="I52" s="5">
        <f t="shared" si="2"/>
        <v>0</v>
      </c>
      <c r="J52" s="1"/>
      <c r="K52" s="1"/>
    </row>
    <row r="53" spans="1:11" ht="39.9" customHeight="1" x14ac:dyDescent="0.5">
      <c r="A53" s="4" t="s">
        <v>49</v>
      </c>
      <c r="B53" s="4" t="s">
        <v>7</v>
      </c>
      <c r="C53" s="4">
        <v>2.4</v>
      </c>
      <c r="D53" s="4">
        <v>1.605</v>
      </c>
      <c r="E53" s="4">
        <f t="shared" si="0"/>
        <v>3.8519999999999999</v>
      </c>
      <c r="F53" s="3">
        <v>53.99</v>
      </c>
      <c r="G53" s="5">
        <f t="shared" si="1"/>
        <v>207.96948</v>
      </c>
      <c r="H53" s="2"/>
      <c r="I53" s="5">
        <f t="shared" si="2"/>
        <v>0</v>
      </c>
      <c r="J53" s="1"/>
      <c r="K53" s="1"/>
    </row>
    <row r="54" spans="1:11" ht="39.9" customHeight="1" x14ac:dyDescent="0.5">
      <c r="A54" s="4" t="s">
        <v>40</v>
      </c>
      <c r="B54" s="4" t="s">
        <v>7</v>
      </c>
      <c r="C54" s="4">
        <v>2.2000000000000002</v>
      </c>
      <c r="D54" s="4">
        <v>1.605</v>
      </c>
      <c r="E54" s="4">
        <f t="shared" si="0"/>
        <v>3.5310000000000001</v>
      </c>
      <c r="F54" s="3">
        <v>64.900000000000006</v>
      </c>
      <c r="G54" s="5">
        <f t="shared" si="1"/>
        <v>229.16190000000003</v>
      </c>
      <c r="H54" s="2"/>
      <c r="I54" s="5">
        <f t="shared" si="2"/>
        <v>0</v>
      </c>
      <c r="J54" s="1"/>
      <c r="K54" s="1"/>
    </row>
    <row r="55" spans="1:11" ht="36.6" customHeight="1" x14ac:dyDescent="0.5">
      <c r="A55" s="4" t="s">
        <v>40</v>
      </c>
      <c r="B55" s="4" t="s">
        <v>7</v>
      </c>
      <c r="C55" s="4">
        <v>2.4</v>
      </c>
      <c r="D55" s="4">
        <v>1.605</v>
      </c>
      <c r="E55" s="4">
        <f t="shared" si="0"/>
        <v>3.8519999999999999</v>
      </c>
      <c r="F55" s="3">
        <v>64.900000000000006</v>
      </c>
      <c r="G55" s="5">
        <f t="shared" si="1"/>
        <v>249.99480000000003</v>
      </c>
      <c r="H55" s="2"/>
      <c r="I55" s="5">
        <f t="shared" si="2"/>
        <v>0</v>
      </c>
      <c r="J55" s="1"/>
      <c r="K55" s="1"/>
    </row>
    <row r="56" spans="1:11" ht="39.9" customHeight="1" x14ac:dyDescent="0.5">
      <c r="A56" s="4" t="s">
        <v>40</v>
      </c>
      <c r="B56" s="4" t="s">
        <v>7</v>
      </c>
      <c r="C56" s="4">
        <v>2.4</v>
      </c>
      <c r="D56" s="4">
        <v>3.21</v>
      </c>
      <c r="E56" s="4">
        <f t="shared" si="0"/>
        <v>7.7039999999999997</v>
      </c>
      <c r="F56" s="3">
        <v>64.900000000000006</v>
      </c>
      <c r="G56" s="5">
        <f t="shared" si="1"/>
        <v>499.98960000000005</v>
      </c>
      <c r="H56" s="2"/>
      <c r="I56" s="5">
        <f t="shared" si="2"/>
        <v>0</v>
      </c>
      <c r="J56" s="1"/>
      <c r="K56" s="1"/>
    </row>
    <row r="57" spans="1:11" ht="39.9" customHeight="1" x14ac:dyDescent="0.5">
      <c r="A57" s="4" t="s">
        <v>41</v>
      </c>
      <c r="B57" s="4" t="s">
        <v>7</v>
      </c>
      <c r="C57" s="4">
        <v>2.4</v>
      </c>
      <c r="D57" s="4">
        <v>3.21</v>
      </c>
      <c r="E57" s="4">
        <f t="shared" si="0"/>
        <v>7.7039999999999997</v>
      </c>
      <c r="F57" s="3">
        <v>65.900000000000006</v>
      </c>
      <c r="G57" s="5">
        <f t="shared" si="1"/>
        <v>507.6936</v>
      </c>
      <c r="H57" s="2"/>
      <c r="I57" s="5">
        <f t="shared" si="2"/>
        <v>0</v>
      </c>
      <c r="J57" s="1"/>
      <c r="K57" s="1"/>
    </row>
    <row r="58" spans="1:11" ht="39.9" customHeight="1" x14ac:dyDescent="0.5">
      <c r="A58" s="4" t="s">
        <v>41</v>
      </c>
      <c r="B58" s="4" t="s">
        <v>7</v>
      </c>
      <c r="C58" s="4">
        <v>2.4</v>
      </c>
      <c r="D58" s="4">
        <v>1.605</v>
      </c>
      <c r="E58" s="4">
        <f t="shared" si="0"/>
        <v>3.8519999999999999</v>
      </c>
      <c r="F58" s="3">
        <v>65.900000000000006</v>
      </c>
      <c r="G58" s="5">
        <f t="shared" si="1"/>
        <v>253.8468</v>
      </c>
      <c r="H58" s="2"/>
      <c r="I58" s="5">
        <f t="shared" si="2"/>
        <v>0</v>
      </c>
      <c r="J58" s="1"/>
      <c r="K58" s="1"/>
    </row>
    <row r="59" spans="1:11" ht="39" customHeight="1" x14ac:dyDescent="0.5">
      <c r="A59" s="4" t="s">
        <v>49</v>
      </c>
      <c r="B59" s="4" t="s">
        <v>6</v>
      </c>
      <c r="C59" s="4">
        <v>2.4</v>
      </c>
      <c r="D59" s="4">
        <v>3.21</v>
      </c>
      <c r="E59" s="4">
        <f t="shared" si="0"/>
        <v>7.7039999999999997</v>
      </c>
      <c r="F59" s="3">
        <v>69.5</v>
      </c>
      <c r="G59" s="5">
        <f t="shared" si="1"/>
        <v>535.428</v>
      </c>
      <c r="H59" s="2"/>
      <c r="I59" s="5">
        <f t="shared" si="2"/>
        <v>0</v>
      </c>
      <c r="J59" s="1"/>
      <c r="K59" s="1"/>
    </row>
    <row r="60" spans="1:11" ht="39.6" customHeight="1" x14ac:dyDescent="0.5">
      <c r="A60" s="4" t="s">
        <v>40</v>
      </c>
      <c r="B60" s="4" t="s">
        <v>6</v>
      </c>
      <c r="C60" s="4">
        <v>2.4</v>
      </c>
      <c r="D60" s="4">
        <v>3.21</v>
      </c>
      <c r="E60" s="4">
        <f t="shared" si="0"/>
        <v>7.7039999999999997</v>
      </c>
      <c r="F60" s="10">
        <v>75.989999999999995</v>
      </c>
      <c r="G60" s="5">
        <f t="shared" si="1"/>
        <v>585.42695999999989</v>
      </c>
      <c r="H60" s="2"/>
      <c r="I60" s="5">
        <f t="shared" si="2"/>
        <v>0</v>
      </c>
      <c r="J60" s="1"/>
      <c r="K60" s="1"/>
    </row>
    <row r="61" spans="1:11" ht="39.9" customHeight="1" x14ac:dyDescent="0.5">
      <c r="A61" s="4" t="s">
        <v>40</v>
      </c>
      <c r="B61" s="4" t="s">
        <v>6</v>
      </c>
      <c r="C61" s="4">
        <v>2.4</v>
      </c>
      <c r="D61" s="4">
        <v>1.605</v>
      </c>
      <c r="E61" s="4">
        <f t="shared" si="0"/>
        <v>3.8519999999999999</v>
      </c>
      <c r="F61" s="10">
        <v>75.989999999999995</v>
      </c>
      <c r="G61" s="5">
        <f t="shared" si="1"/>
        <v>292.71347999999995</v>
      </c>
      <c r="H61" s="2"/>
      <c r="I61" s="5">
        <f t="shared" si="2"/>
        <v>0</v>
      </c>
      <c r="J61" s="1"/>
      <c r="K61" s="1"/>
    </row>
    <row r="62" spans="1:11" ht="39.9" customHeight="1" x14ac:dyDescent="0.5">
      <c r="A62" s="4" t="s">
        <v>42</v>
      </c>
      <c r="B62" s="4" t="s">
        <v>6</v>
      </c>
      <c r="C62" s="4">
        <v>2.4</v>
      </c>
      <c r="D62" s="4">
        <v>3.21</v>
      </c>
      <c r="E62" s="4">
        <f t="shared" si="0"/>
        <v>7.7039999999999997</v>
      </c>
      <c r="F62" s="3">
        <v>139.9</v>
      </c>
      <c r="G62" s="5">
        <f t="shared" si="1"/>
        <v>1077.7896000000001</v>
      </c>
      <c r="H62" s="2"/>
      <c r="I62" s="5">
        <f t="shared" si="2"/>
        <v>0</v>
      </c>
      <c r="J62" s="1"/>
      <c r="K62" s="1"/>
    </row>
    <row r="63" spans="1:11" ht="39.9" customHeight="1" x14ac:dyDescent="0.5">
      <c r="A63" s="4" t="s">
        <v>42</v>
      </c>
      <c r="B63" s="4" t="s">
        <v>6</v>
      </c>
      <c r="C63" s="4">
        <v>2.1</v>
      </c>
      <c r="D63" s="4">
        <v>1.605</v>
      </c>
      <c r="E63" s="4">
        <f t="shared" si="0"/>
        <v>3.3705000000000003</v>
      </c>
      <c r="F63" s="3">
        <v>139.9</v>
      </c>
      <c r="G63" s="5">
        <f t="shared" si="1"/>
        <v>471.53295000000008</v>
      </c>
      <c r="H63" s="2"/>
      <c r="I63" s="5">
        <f t="shared" si="2"/>
        <v>0</v>
      </c>
      <c r="J63" s="1"/>
      <c r="K63" s="1"/>
    </row>
    <row r="64" spans="1:11" ht="39.9" customHeight="1" x14ac:dyDescent="0.5">
      <c r="A64" s="4" t="s">
        <v>72</v>
      </c>
      <c r="B64" s="4" t="s">
        <v>6</v>
      </c>
      <c r="C64" s="4">
        <v>2.1</v>
      </c>
      <c r="D64" s="4">
        <v>1.605</v>
      </c>
      <c r="E64" s="4">
        <f t="shared" si="0"/>
        <v>3.3705000000000003</v>
      </c>
      <c r="F64" s="3">
        <v>139.9</v>
      </c>
      <c r="G64" s="5">
        <f t="shared" si="1"/>
        <v>471.53295000000008</v>
      </c>
      <c r="H64" s="2"/>
      <c r="I64" s="5">
        <f t="shared" si="2"/>
        <v>0</v>
      </c>
      <c r="J64" s="1"/>
      <c r="K64" s="1"/>
    </row>
    <row r="65" spans="1:11" ht="39.9" customHeight="1" x14ac:dyDescent="0.5">
      <c r="A65" s="4" t="s">
        <v>37</v>
      </c>
      <c r="B65" s="4" t="s">
        <v>6</v>
      </c>
      <c r="C65" s="4">
        <v>2.4</v>
      </c>
      <c r="D65" s="4">
        <v>3.21</v>
      </c>
      <c r="E65" s="4">
        <f t="shared" si="0"/>
        <v>7.7039999999999997</v>
      </c>
      <c r="F65" s="3">
        <v>99</v>
      </c>
      <c r="G65" s="5">
        <f t="shared" si="1"/>
        <v>762.69600000000003</v>
      </c>
      <c r="H65" s="2"/>
      <c r="I65" s="5">
        <f t="shared" si="2"/>
        <v>0</v>
      </c>
      <c r="J65" s="1"/>
      <c r="K65" s="1"/>
    </row>
    <row r="66" spans="1:11" ht="39.9" customHeight="1" x14ac:dyDescent="0.5">
      <c r="A66" s="4" t="s">
        <v>41</v>
      </c>
      <c r="B66" s="4" t="s">
        <v>6</v>
      </c>
      <c r="C66" s="4">
        <v>2.4</v>
      </c>
      <c r="D66" s="4">
        <v>3.21</v>
      </c>
      <c r="E66" s="4">
        <f t="shared" si="0"/>
        <v>7.7039999999999997</v>
      </c>
      <c r="F66" s="3">
        <v>77</v>
      </c>
      <c r="G66" s="5">
        <f t="shared" si="1"/>
        <v>593.20799999999997</v>
      </c>
      <c r="H66" s="2"/>
      <c r="I66" s="5">
        <f t="shared" si="2"/>
        <v>0</v>
      </c>
      <c r="J66" s="1"/>
      <c r="K66" s="1"/>
    </row>
    <row r="67" spans="1:11" ht="39.9" customHeight="1" x14ac:dyDescent="0.5">
      <c r="A67" s="4" t="s">
        <v>41</v>
      </c>
      <c r="B67" s="4" t="s">
        <v>6</v>
      </c>
      <c r="C67" s="4">
        <v>2.2000000000000002</v>
      </c>
      <c r="D67" s="4">
        <v>1.605</v>
      </c>
      <c r="E67" s="4">
        <f t="shared" si="0"/>
        <v>3.5310000000000001</v>
      </c>
      <c r="F67" s="3">
        <v>77</v>
      </c>
      <c r="G67" s="5">
        <f t="shared" si="1"/>
        <v>271.887</v>
      </c>
      <c r="H67" s="2"/>
      <c r="I67" s="5">
        <f t="shared" si="2"/>
        <v>0</v>
      </c>
      <c r="J67" s="1"/>
      <c r="K67" s="1"/>
    </row>
    <row r="68" spans="1:11" ht="39.6" customHeight="1" x14ac:dyDescent="0.5">
      <c r="A68" s="4" t="s">
        <v>41</v>
      </c>
      <c r="B68" s="4" t="s">
        <v>6</v>
      </c>
      <c r="C68" s="4">
        <v>2.4</v>
      </c>
      <c r="D68" s="4">
        <v>1.605</v>
      </c>
      <c r="E68" s="4">
        <f t="shared" si="0"/>
        <v>3.8519999999999999</v>
      </c>
      <c r="F68" s="3">
        <v>77</v>
      </c>
      <c r="G68" s="5">
        <f t="shared" si="1"/>
        <v>296.60399999999998</v>
      </c>
      <c r="H68" s="2"/>
      <c r="I68" s="5">
        <f t="shared" si="2"/>
        <v>0</v>
      </c>
      <c r="J68" s="1"/>
      <c r="K68" s="1"/>
    </row>
    <row r="69" spans="1:11" ht="39.9" customHeight="1" x14ac:dyDescent="0.5">
      <c r="A69" s="4" t="s">
        <v>40</v>
      </c>
      <c r="B69" s="4" t="s">
        <v>16</v>
      </c>
      <c r="C69" s="4">
        <v>2.4</v>
      </c>
      <c r="D69" s="4">
        <v>3.21</v>
      </c>
      <c r="E69" s="4">
        <f t="shared" si="0"/>
        <v>7.7039999999999997</v>
      </c>
      <c r="F69" s="3">
        <v>110</v>
      </c>
      <c r="G69" s="5">
        <f t="shared" si="1"/>
        <v>847.43999999999994</v>
      </c>
      <c r="H69" s="2"/>
      <c r="I69" s="5">
        <f t="shared" ref="I69:I96" si="3">H69*G69</f>
        <v>0</v>
      </c>
      <c r="J69" s="1"/>
      <c r="K69" s="1"/>
    </row>
    <row r="70" spans="1:11" ht="39.9" customHeight="1" x14ac:dyDescent="0.5">
      <c r="A70" s="4" t="s">
        <v>40</v>
      </c>
      <c r="B70" s="4" t="s">
        <v>8</v>
      </c>
      <c r="C70" s="4">
        <v>2.4</v>
      </c>
      <c r="D70" s="4">
        <v>3.21</v>
      </c>
      <c r="E70" s="4">
        <f t="shared" si="0"/>
        <v>7.7039999999999997</v>
      </c>
      <c r="F70" s="3">
        <v>130</v>
      </c>
      <c r="G70" s="5">
        <f t="shared" si="1"/>
        <v>1001.52</v>
      </c>
      <c r="H70" s="2"/>
      <c r="I70" s="5">
        <f t="shared" si="3"/>
        <v>0</v>
      </c>
      <c r="J70" s="1"/>
      <c r="K70" s="1"/>
    </row>
    <row r="71" spans="1:11" ht="39" customHeight="1" x14ac:dyDescent="0.5">
      <c r="A71" s="4" t="s">
        <v>40</v>
      </c>
      <c r="B71" s="4" t="s">
        <v>8</v>
      </c>
      <c r="C71" s="4">
        <v>2.4</v>
      </c>
      <c r="D71" s="4">
        <v>1.605</v>
      </c>
      <c r="E71" s="4">
        <f t="shared" si="0"/>
        <v>3.8519999999999999</v>
      </c>
      <c r="F71" s="3">
        <v>140</v>
      </c>
      <c r="G71" s="5">
        <f t="shared" si="1"/>
        <v>539.28</v>
      </c>
      <c r="H71" s="2"/>
      <c r="I71" s="5">
        <f t="shared" si="3"/>
        <v>0</v>
      </c>
      <c r="J71" s="1"/>
      <c r="K71" s="1"/>
    </row>
    <row r="72" spans="1:11" ht="39.9" customHeight="1" x14ac:dyDescent="0.5">
      <c r="A72" s="4" t="s">
        <v>77</v>
      </c>
      <c r="B72" s="4" t="s">
        <v>19</v>
      </c>
      <c r="C72" s="4">
        <v>2.4</v>
      </c>
      <c r="D72" s="4">
        <v>3.21</v>
      </c>
      <c r="E72" s="4">
        <f t="shared" si="0"/>
        <v>7.7039999999999997</v>
      </c>
      <c r="F72" s="3">
        <v>116</v>
      </c>
      <c r="G72" s="5">
        <f t="shared" si="1"/>
        <v>893.66399999999999</v>
      </c>
      <c r="H72" s="2"/>
      <c r="I72" s="5">
        <f t="shared" si="3"/>
        <v>0</v>
      </c>
      <c r="J72" s="1"/>
      <c r="K72" s="1"/>
    </row>
    <row r="73" spans="1:11" ht="39.9" customHeight="1" x14ac:dyDescent="0.5">
      <c r="A73" s="4" t="s">
        <v>78</v>
      </c>
      <c r="B73" s="4" t="s">
        <v>19</v>
      </c>
      <c r="C73" s="4">
        <v>2.4</v>
      </c>
      <c r="D73" s="4">
        <v>3.21</v>
      </c>
      <c r="E73" s="4">
        <f t="shared" si="0"/>
        <v>7.7039999999999997</v>
      </c>
      <c r="F73" s="3">
        <v>105</v>
      </c>
      <c r="G73" s="5">
        <f t="shared" si="1"/>
        <v>808.92</v>
      </c>
      <c r="H73" s="2"/>
      <c r="I73" s="5">
        <f t="shared" si="3"/>
        <v>0</v>
      </c>
      <c r="J73" s="1"/>
      <c r="K73" s="1"/>
    </row>
    <row r="74" spans="1:11" ht="39.9" customHeight="1" x14ac:dyDescent="0.5">
      <c r="A74" s="4" t="s">
        <v>77</v>
      </c>
      <c r="B74" s="4" t="s">
        <v>20</v>
      </c>
      <c r="C74" s="4">
        <v>2.4</v>
      </c>
      <c r="D74" s="4">
        <v>3.21</v>
      </c>
      <c r="E74" s="4">
        <f t="shared" ref="E74" si="4">(C74*D74)</f>
        <v>7.7039999999999997</v>
      </c>
      <c r="F74" s="3">
        <v>133.5</v>
      </c>
      <c r="G74" s="5">
        <f t="shared" ref="G74" si="5">E74*F74</f>
        <v>1028.4839999999999</v>
      </c>
      <c r="H74" s="2"/>
      <c r="I74" s="5">
        <f t="shared" ref="I74" si="6">H74*G74</f>
        <v>0</v>
      </c>
      <c r="J74" s="1"/>
      <c r="K74" s="1"/>
    </row>
    <row r="75" spans="1:11" ht="39.9" customHeight="1" x14ac:dyDescent="0.5">
      <c r="A75" s="4" t="s">
        <v>78</v>
      </c>
      <c r="B75" s="4" t="s">
        <v>20</v>
      </c>
      <c r="C75" s="4">
        <v>2.4</v>
      </c>
      <c r="D75" s="4">
        <v>3.21</v>
      </c>
      <c r="E75" s="4">
        <f t="shared" si="0"/>
        <v>7.7039999999999997</v>
      </c>
      <c r="F75" s="3">
        <v>122</v>
      </c>
      <c r="G75" s="5">
        <f t="shared" si="1"/>
        <v>939.88799999999992</v>
      </c>
      <c r="H75" s="2"/>
      <c r="I75" s="5">
        <f t="shared" si="3"/>
        <v>0</v>
      </c>
      <c r="J75" s="1"/>
      <c r="K75" s="1"/>
    </row>
    <row r="76" spans="1:11" ht="39.9" customHeight="1" x14ac:dyDescent="0.5">
      <c r="A76" s="4" t="s">
        <v>18</v>
      </c>
      <c r="B76" s="4" t="s">
        <v>30</v>
      </c>
      <c r="C76" s="4">
        <v>2.4</v>
      </c>
      <c r="D76" s="4">
        <v>3.21</v>
      </c>
      <c r="E76" s="4">
        <f t="shared" si="0"/>
        <v>7.7039999999999997</v>
      </c>
      <c r="F76" s="3">
        <v>141</v>
      </c>
      <c r="G76" s="5">
        <f t="shared" si="1"/>
        <v>1086.2639999999999</v>
      </c>
      <c r="H76" s="2"/>
      <c r="I76" s="5">
        <f t="shared" si="3"/>
        <v>0</v>
      </c>
      <c r="J76" s="1"/>
      <c r="K76" s="1"/>
    </row>
    <row r="77" spans="1:11" ht="39.9" customHeight="1" x14ac:dyDescent="0.5">
      <c r="A77" s="4" t="s">
        <v>38</v>
      </c>
      <c r="B77" s="4" t="s">
        <v>19</v>
      </c>
      <c r="C77" s="4">
        <v>2.4</v>
      </c>
      <c r="D77" s="4">
        <v>3.21</v>
      </c>
      <c r="E77" s="4">
        <f t="shared" ref="E77:E101" si="7">(C77*D77)</f>
        <v>7.7039999999999997</v>
      </c>
      <c r="F77" s="3">
        <v>130</v>
      </c>
      <c r="G77" s="5">
        <f t="shared" ref="G77:G93" si="8">E77*F77</f>
        <v>1001.52</v>
      </c>
      <c r="H77" s="2"/>
      <c r="I77" s="5">
        <f t="shared" si="3"/>
        <v>0</v>
      </c>
      <c r="J77" s="1"/>
      <c r="K77" s="1"/>
    </row>
    <row r="78" spans="1:11" ht="39.9" customHeight="1" x14ac:dyDescent="0.5">
      <c r="A78" s="4" t="s">
        <v>80</v>
      </c>
      <c r="B78" s="4" t="s">
        <v>20</v>
      </c>
      <c r="C78" s="4">
        <v>2.4</v>
      </c>
      <c r="D78" s="4">
        <v>3.21</v>
      </c>
      <c r="E78" s="4">
        <f t="shared" si="7"/>
        <v>7.7039999999999997</v>
      </c>
      <c r="F78" s="3">
        <v>172</v>
      </c>
      <c r="G78" s="5">
        <f t="shared" si="8"/>
        <v>1325.088</v>
      </c>
      <c r="H78" s="2"/>
      <c r="I78" s="5">
        <f t="shared" si="3"/>
        <v>0</v>
      </c>
      <c r="J78" s="1"/>
      <c r="K78" s="1"/>
    </row>
    <row r="79" spans="1:11" ht="39.9" customHeight="1" x14ac:dyDescent="0.5">
      <c r="A79" s="4" t="s">
        <v>79</v>
      </c>
      <c r="B79" s="4" t="s">
        <v>20</v>
      </c>
      <c r="C79" s="4">
        <v>2.4</v>
      </c>
      <c r="D79" s="4">
        <v>3.21</v>
      </c>
      <c r="E79" s="4">
        <f t="shared" ref="E79" si="9">(C79*D79)</f>
        <v>7.7039999999999997</v>
      </c>
      <c r="F79" s="3">
        <v>155</v>
      </c>
      <c r="G79" s="5">
        <f t="shared" ref="G79" si="10">E79*F79</f>
        <v>1194.1199999999999</v>
      </c>
      <c r="H79" s="2"/>
      <c r="I79" s="5">
        <f t="shared" ref="I79" si="11">H79*G79</f>
        <v>0</v>
      </c>
      <c r="J79" s="1"/>
      <c r="K79" s="1"/>
    </row>
    <row r="80" spans="1:11" ht="39.9" customHeight="1" x14ac:dyDescent="0.5">
      <c r="A80" s="4" t="s">
        <v>38</v>
      </c>
      <c r="B80" s="4" t="s">
        <v>30</v>
      </c>
      <c r="C80" s="4">
        <v>2.4</v>
      </c>
      <c r="D80" s="4">
        <v>3.21</v>
      </c>
      <c r="E80" s="4">
        <f t="shared" si="7"/>
        <v>7.7039999999999997</v>
      </c>
      <c r="F80" s="3">
        <v>215</v>
      </c>
      <c r="G80" s="5">
        <f t="shared" si="8"/>
        <v>1656.36</v>
      </c>
      <c r="H80" s="2"/>
      <c r="I80" s="5">
        <f t="shared" si="3"/>
        <v>0</v>
      </c>
      <c r="J80" s="1"/>
      <c r="K80" s="1"/>
    </row>
    <row r="81" spans="1:11" ht="39.6" customHeight="1" x14ac:dyDescent="0.5">
      <c r="A81" s="4" t="s">
        <v>71</v>
      </c>
      <c r="B81" s="4" t="s">
        <v>20</v>
      </c>
      <c r="C81" s="4">
        <v>2.4</v>
      </c>
      <c r="D81" s="4">
        <v>3.21</v>
      </c>
      <c r="E81" s="4">
        <f t="shared" si="7"/>
        <v>7.7039999999999997</v>
      </c>
      <c r="F81" s="3">
        <v>195</v>
      </c>
      <c r="G81" s="5">
        <f t="shared" si="8"/>
        <v>1502.28</v>
      </c>
      <c r="H81" s="7"/>
      <c r="I81" s="3">
        <f t="shared" si="3"/>
        <v>0</v>
      </c>
    </row>
    <row r="82" spans="1:11" ht="39.6" customHeight="1" x14ac:dyDescent="0.5">
      <c r="A82" s="4" t="s">
        <v>71</v>
      </c>
      <c r="B82" s="4" t="s">
        <v>20</v>
      </c>
      <c r="C82" s="4">
        <v>2.2000000000000002</v>
      </c>
      <c r="D82" s="4">
        <v>0.6</v>
      </c>
      <c r="E82" s="4">
        <f t="shared" si="7"/>
        <v>1.32</v>
      </c>
      <c r="F82" s="3">
        <v>195</v>
      </c>
      <c r="G82" s="5">
        <f t="shared" si="8"/>
        <v>257.40000000000003</v>
      </c>
      <c r="H82" s="7"/>
      <c r="I82" s="3">
        <f t="shared" si="3"/>
        <v>0</v>
      </c>
    </row>
    <row r="83" spans="1:11" ht="39" customHeight="1" x14ac:dyDescent="0.5">
      <c r="A83" s="9" t="s">
        <v>4</v>
      </c>
      <c r="B83" s="9" t="s">
        <v>21</v>
      </c>
      <c r="C83" s="9">
        <v>2.2000000000000002</v>
      </c>
      <c r="D83" s="9">
        <v>1.9</v>
      </c>
      <c r="E83" s="9">
        <f t="shared" si="7"/>
        <v>4.18</v>
      </c>
      <c r="F83" s="10">
        <v>44.99</v>
      </c>
      <c r="G83" s="10">
        <f t="shared" si="8"/>
        <v>188.0582</v>
      </c>
      <c r="H83" s="11"/>
      <c r="I83" s="10">
        <f t="shared" si="3"/>
        <v>0</v>
      </c>
      <c r="J83" s="1"/>
      <c r="K83" s="1"/>
    </row>
    <row r="84" spans="1:11" ht="39" customHeight="1" x14ac:dyDescent="0.5">
      <c r="A84" s="9" t="s">
        <v>4</v>
      </c>
      <c r="B84" s="9" t="s">
        <v>21</v>
      </c>
      <c r="C84" s="9">
        <v>2.44</v>
      </c>
      <c r="D84" s="9">
        <v>1.83</v>
      </c>
      <c r="E84" s="9">
        <f t="shared" si="7"/>
        <v>4.4652000000000003</v>
      </c>
      <c r="F84" s="10">
        <v>44.99</v>
      </c>
      <c r="G84" s="10">
        <f t="shared" si="8"/>
        <v>200.88934800000001</v>
      </c>
      <c r="H84" s="11"/>
      <c r="I84" s="10">
        <f t="shared" si="3"/>
        <v>0</v>
      </c>
      <c r="J84" s="1"/>
      <c r="K84" s="1"/>
    </row>
    <row r="85" spans="1:11" ht="39.6" customHeight="1" x14ac:dyDescent="0.5">
      <c r="A85" s="4" t="s">
        <v>22</v>
      </c>
      <c r="B85" s="4" t="s">
        <v>21</v>
      </c>
      <c r="C85" s="4">
        <v>2.44</v>
      </c>
      <c r="D85" s="4">
        <v>1.9</v>
      </c>
      <c r="E85" s="4">
        <f t="shared" si="7"/>
        <v>4.6360000000000001</v>
      </c>
      <c r="F85" s="3">
        <v>48.9</v>
      </c>
      <c r="G85" s="5">
        <f t="shared" si="8"/>
        <v>226.7004</v>
      </c>
      <c r="H85" s="2"/>
      <c r="I85" s="5">
        <f t="shared" si="3"/>
        <v>0</v>
      </c>
      <c r="J85" s="1"/>
      <c r="K85" s="1"/>
    </row>
    <row r="86" spans="1:11" ht="39" customHeight="1" x14ac:dyDescent="0.5">
      <c r="A86" s="4" t="s">
        <v>22</v>
      </c>
      <c r="B86" s="4" t="s">
        <v>21</v>
      </c>
      <c r="C86" s="4">
        <v>2.2000000000000002</v>
      </c>
      <c r="D86" s="4">
        <v>1.9</v>
      </c>
      <c r="E86" s="4">
        <f t="shared" si="7"/>
        <v>4.18</v>
      </c>
      <c r="F86" s="3">
        <v>48.9</v>
      </c>
      <c r="G86" s="5">
        <f t="shared" si="8"/>
        <v>204.40199999999999</v>
      </c>
      <c r="H86" s="2"/>
      <c r="I86" s="5">
        <f t="shared" si="3"/>
        <v>0</v>
      </c>
      <c r="J86" s="1"/>
      <c r="K86" s="1"/>
    </row>
    <row r="87" spans="1:11" ht="39" customHeight="1" x14ac:dyDescent="0.5">
      <c r="A87" s="4" t="s">
        <v>81</v>
      </c>
      <c r="B87" s="4" t="s">
        <v>21</v>
      </c>
      <c r="C87" s="4">
        <v>2.2000000000000002</v>
      </c>
      <c r="D87" s="4">
        <v>1.9</v>
      </c>
      <c r="E87" s="4">
        <f t="shared" ref="E87" si="12">(C87*D87)</f>
        <v>4.18</v>
      </c>
      <c r="F87" s="3">
        <v>48.9</v>
      </c>
      <c r="G87" s="5">
        <f t="shared" ref="G87" si="13">E87*F87</f>
        <v>204.40199999999999</v>
      </c>
      <c r="H87" s="2"/>
      <c r="I87" s="5">
        <f t="shared" ref="I87" si="14">H87*G87</f>
        <v>0</v>
      </c>
      <c r="J87" s="1"/>
      <c r="K87" s="1"/>
    </row>
    <row r="88" spans="1:11" ht="39.9" customHeight="1" x14ac:dyDescent="0.5">
      <c r="A88" s="4" t="s">
        <v>43</v>
      </c>
      <c r="B88" s="4" t="s">
        <v>35</v>
      </c>
      <c r="C88" s="4">
        <v>2.4</v>
      </c>
      <c r="D88" s="4">
        <v>3.21</v>
      </c>
      <c r="E88" s="4">
        <f t="shared" si="7"/>
        <v>7.7039999999999997</v>
      </c>
      <c r="F88" s="3">
        <v>98</v>
      </c>
      <c r="G88" s="5">
        <f t="shared" si="8"/>
        <v>754.99199999999996</v>
      </c>
      <c r="H88" s="2"/>
      <c r="I88" s="5">
        <f t="shared" si="3"/>
        <v>0</v>
      </c>
      <c r="J88" s="1"/>
      <c r="K88" s="1"/>
    </row>
    <row r="89" spans="1:11" ht="39.6" customHeight="1" x14ac:dyDescent="0.5">
      <c r="A89" s="4" t="s">
        <v>36</v>
      </c>
      <c r="B89" s="4" t="s">
        <v>26</v>
      </c>
      <c r="C89" s="4">
        <v>2.2000000000000002</v>
      </c>
      <c r="D89" s="4">
        <v>1.83</v>
      </c>
      <c r="E89" s="4">
        <f t="shared" si="7"/>
        <v>4.0260000000000007</v>
      </c>
      <c r="F89" s="14">
        <v>59.9</v>
      </c>
      <c r="G89" s="5">
        <f t="shared" si="8"/>
        <v>241.15740000000002</v>
      </c>
      <c r="H89" s="2"/>
      <c r="I89" s="5">
        <f t="shared" si="3"/>
        <v>0</v>
      </c>
      <c r="J89" s="1"/>
      <c r="K89" s="1"/>
    </row>
    <row r="90" spans="1:11" ht="39.6" customHeight="1" x14ac:dyDescent="0.5">
      <c r="A90" s="4" t="s">
        <v>36</v>
      </c>
      <c r="B90" s="4" t="s">
        <v>26</v>
      </c>
      <c r="C90" s="4">
        <v>1.53</v>
      </c>
      <c r="D90" s="4">
        <v>1.9</v>
      </c>
      <c r="E90" s="4">
        <f t="shared" si="7"/>
        <v>2.907</v>
      </c>
      <c r="F90" s="14">
        <v>59.9</v>
      </c>
      <c r="G90" s="5">
        <f t="shared" si="8"/>
        <v>174.1293</v>
      </c>
      <c r="H90" s="2"/>
      <c r="I90" s="5">
        <f t="shared" si="3"/>
        <v>0</v>
      </c>
      <c r="J90" s="1"/>
      <c r="K90" s="1"/>
    </row>
    <row r="91" spans="1:11" ht="39.9" customHeight="1" x14ac:dyDescent="0.5">
      <c r="A91" s="4" t="s">
        <v>52</v>
      </c>
      <c r="B91" s="4" t="s">
        <v>27</v>
      </c>
      <c r="C91" s="4">
        <v>2.4</v>
      </c>
      <c r="D91" s="4">
        <v>1.605</v>
      </c>
      <c r="E91" s="4">
        <f t="shared" si="7"/>
        <v>3.8519999999999999</v>
      </c>
      <c r="F91" s="3">
        <v>49</v>
      </c>
      <c r="G91" s="5">
        <f t="shared" si="8"/>
        <v>188.74799999999999</v>
      </c>
      <c r="H91" s="2"/>
      <c r="I91" s="5">
        <f t="shared" si="3"/>
        <v>0</v>
      </c>
      <c r="J91" s="1"/>
      <c r="K91" s="1"/>
    </row>
    <row r="92" spans="1:11" ht="39.9" customHeight="1" x14ac:dyDescent="0.5">
      <c r="A92" s="4" t="s">
        <v>52</v>
      </c>
      <c r="B92" s="4" t="s">
        <v>35</v>
      </c>
      <c r="C92" s="4">
        <v>2.4</v>
      </c>
      <c r="D92" s="4">
        <v>3.21</v>
      </c>
      <c r="E92" s="4">
        <f t="shared" si="7"/>
        <v>7.7039999999999997</v>
      </c>
      <c r="F92" s="3">
        <v>67</v>
      </c>
      <c r="G92" s="5">
        <f t="shared" si="8"/>
        <v>516.16800000000001</v>
      </c>
      <c r="H92" s="2"/>
      <c r="I92" s="5">
        <f t="shared" si="3"/>
        <v>0</v>
      </c>
      <c r="J92" s="1"/>
      <c r="K92" s="1"/>
    </row>
    <row r="93" spans="1:11" ht="39.9" customHeight="1" x14ac:dyDescent="0.5">
      <c r="A93" s="4" t="s">
        <v>52</v>
      </c>
      <c r="B93" s="4" t="s">
        <v>35</v>
      </c>
      <c r="C93" s="4">
        <v>2.4</v>
      </c>
      <c r="D93" s="4">
        <v>1.605</v>
      </c>
      <c r="E93" s="4">
        <f t="shared" si="7"/>
        <v>3.8519999999999999</v>
      </c>
      <c r="F93" s="3">
        <v>69</v>
      </c>
      <c r="G93" s="5">
        <f t="shared" si="8"/>
        <v>265.78800000000001</v>
      </c>
      <c r="H93" s="2"/>
      <c r="I93" s="5">
        <f t="shared" si="3"/>
        <v>0</v>
      </c>
      <c r="J93" s="1"/>
      <c r="K93" s="1"/>
    </row>
    <row r="94" spans="1:11" ht="39.9" customHeight="1" x14ac:dyDescent="0.5">
      <c r="A94" s="4" t="s">
        <v>47</v>
      </c>
      <c r="B94" s="4" t="s">
        <v>35</v>
      </c>
      <c r="C94" s="4">
        <v>2.4</v>
      </c>
      <c r="D94" s="4">
        <v>1.605</v>
      </c>
      <c r="E94" s="4">
        <f t="shared" si="7"/>
        <v>3.8519999999999999</v>
      </c>
      <c r="F94" s="3">
        <v>109</v>
      </c>
      <c r="G94" s="5">
        <f>E94*F94</f>
        <v>419.86799999999999</v>
      </c>
      <c r="H94" s="2"/>
      <c r="I94" s="5">
        <f t="shared" si="3"/>
        <v>0</v>
      </c>
      <c r="J94" s="1"/>
      <c r="K94" s="1"/>
    </row>
    <row r="95" spans="1:11" ht="39.9" customHeight="1" x14ac:dyDescent="0.5">
      <c r="A95" s="4" t="s">
        <v>46</v>
      </c>
      <c r="B95" s="4" t="s">
        <v>35</v>
      </c>
      <c r="C95" s="4">
        <v>2.4</v>
      </c>
      <c r="D95" s="4">
        <v>3.21</v>
      </c>
      <c r="E95" s="4">
        <f t="shared" si="7"/>
        <v>7.7039999999999997</v>
      </c>
      <c r="F95" s="3">
        <v>78</v>
      </c>
      <c r="G95" s="5">
        <f>E95*F95</f>
        <v>600.91200000000003</v>
      </c>
      <c r="H95" s="2"/>
      <c r="I95" s="5">
        <f t="shared" si="3"/>
        <v>0</v>
      </c>
    </row>
    <row r="96" spans="1:11" ht="39" customHeight="1" x14ac:dyDescent="0.5">
      <c r="A96" s="4" t="s">
        <v>46</v>
      </c>
      <c r="B96" s="4" t="s">
        <v>35</v>
      </c>
      <c r="C96" s="4">
        <v>2.2000000000000002</v>
      </c>
      <c r="D96" s="4">
        <v>3.6</v>
      </c>
      <c r="E96" s="4">
        <f t="shared" si="7"/>
        <v>7.9200000000000008</v>
      </c>
      <c r="F96" s="3">
        <v>78</v>
      </c>
      <c r="G96" s="5">
        <f t="shared" ref="G96:G101" si="15">E96*F96</f>
        <v>617.7600000000001</v>
      </c>
      <c r="H96" s="2"/>
      <c r="I96" s="5">
        <f t="shared" si="3"/>
        <v>0</v>
      </c>
    </row>
    <row r="97" spans="1:9" ht="39" customHeight="1" x14ac:dyDescent="0.5">
      <c r="A97" s="4" t="s">
        <v>46</v>
      </c>
      <c r="B97" s="4" t="s">
        <v>35</v>
      </c>
      <c r="C97" s="4">
        <v>2.4</v>
      </c>
      <c r="D97" s="4">
        <v>1.605</v>
      </c>
      <c r="E97" s="4">
        <f t="shared" si="7"/>
        <v>3.8519999999999999</v>
      </c>
      <c r="F97" s="3">
        <v>78</v>
      </c>
      <c r="G97" s="5">
        <f t="shared" si="15"/>
        <v>300.45600000000002</v>
      </c>
      <c r="H97" s="2"/>
      <c r="I97" s="5">
        <f>H97*G97</f>
        <v>0</v>
      </c>
    </row>
    <row r="98" spans="1:9" ht="39.9" customHeight="1" x14ac:dyDescent="0.5">
      <c r="A98" s="4" t="s">
        <v>34</v>
      </c>
      <c r="B98" s="4" t="s">
        <v>35</v>
      </c>
      <c r="C98" s="4">
        <v>2.4</v>
      </c>
      <c r="D98" s="4">
        <v>3.21</v>
      </c>
      <c r="E98" s="4">
        <f t="shared" si="7"/>
        <v>7.7039999999999997</v>
      </c>
      <c r="F98" s="3">
        <v>68.3</v>
      </c>
      <c r="G98" s="5">
        <f t="shared" si="15"/>
        <v>526.18319999999994</v>
      </c>
      <c r="H98" s="2"/>
      <c r="I98" s="5">
        <f t="shared" ref="I98:I100" si="16">H98*G98</f>
        <v>0</v>
      </c>
    </row>
    <row r="99" spans="1:9" ht="39.9" customHeight="1" x14ac:dyDescent="0.5">
      <c r="A99" s="4" t="s">
        <v>34</v>
      </c>
      <c r="B99" s="4" t="s">
        <v>73</v>
      </c>
      <c r="C99" s="4">
        <v>2.14</v>
      </c>
      <c r="D99" s="4">
        <v>1.65</v>
      </c>
      <c r="E99" s="4">
        <f t="shared" si="7"/>
        <v>3.5310000000000001</v>
      </c>
      <c r="F99" s="3">
        <v>103</v>
      </c>
      <c r="G99" s="5">
        <f t="shared" si="15"/>
        <v>363.69300000000004</v>
      </c>
      <c r="H99" s="2"/>
      <c r="I99" s="5">
        <f t="shared" si="16"/>
        <v>0</v>
      </c>
    </row>
    <row r="100" spans="1:9" ht="39.9" customHeight="1" x14ac:dyDescent="0.5">
      <c r="A100" s="4" t="s">
        <v>34</v>
      </c>
      <c r="B100" s="4" t="s">
        <v>74</v>
      </c>
      <c r="C100" s="4">
        <v>2.14</v>
      </c>
      <c r="D100" s="4">
        <v>1.65</v>
      </c>
      <c r="E100" s="4">
        <f t="shared" si="7"/>
        <v>3.5310000000000001</v>
      </c>
      <c r="F100" s="3">
        <v>137</v>
      </c>
      <c r="G100" s="5">
        <f t="shared" si="15"/>
        <v>483.74700000000001</v>
      </c>
      <c r="H100" s="2"/>
      <c r="I100" s="5">
        <f t="shared" si="16"/>
        <v>0</v>
      </c>
    </row>
    <row r="101" spans="1:9" ht="39.9" customHeight="1" x14ac:dyDescent="0.5">
      <c r="A101" s="4" t="s">
        <v>34</v>
      </c>
      <c r="B101" s="4" t="s">
        <v>75</v>
      </c>
      <c r="C101" s="4">
        <v>2.14</v>
      </c>
      <c r="D101" s="4">
        <v>1.65</v>
      </c>
      <c r="E101" s="4">
        <f t="shared" si="7"/>
        <v>3.5310000000000001</v>
      </c>
      <c r="F101" s="3">
        <v>172</v>
      </c>
      <c r="G101" s="5">
        <f t="shared" si="15"/>
        <v>607.33199999999999</v>
      </c>
      <c r="H101" s="2"/>
      <c r="I101" s="5">
        <f>H101*G101</f>
        <v>0</v>
      </c>
    </row>
    <row r="102" spans="1:9" ht="49.5" customHeight="1" x14ac:dyDescent="0.7">
      <c r="H102" s="36">
        <f>SUM(I5:I99)</f>
        <v>0</v>
      </c>
      <c r="I102" s="36"/>
    </row>
  </sheetData>
  <mergeCells count="9">
    <mergeCell ref="H102:I102"/>
    <mergeCell ref="A1:I1"/>
    <mergeCell ref="A2:I2"/>
    <mergeCell ref="A3:A4"/>
    <mergeCell ref="B3:B4"/>
    <mergeCell ref="C3:C4"/>
    <mergeCell ref="D3:D4"/>
    <mergeCell ref="E3:E4"/>
    <mergeCell ref="H3:H4"/>
  </mergeCells>
  <pageMargins left="0.11811023622047245" right="0.11811023622047245" top="0.39370078740157483" bottom="0.74803149606299213" header="0.31496062992125984" footer="0.31496062992125984"/>
  <pageSetup paperSize="9" scale="51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2792-47F0-4086-8848-D0EE92861B8D}">
  <sheetPr>
    <pageSetUpPr fitToPage="1"/>
  </sheetPr>
  <dimension ref="A1:K108"/>
  <sheetViews>
    <sheetView tabSelected="1" topLeftCell="A20" zoomScale="70" zoomScaleNormal="70" workbookViewId="0">
      <selection activeCell="I30" sqref="I30"/>
    </sheetView>
  </sheetViews>
  <sheetFormatPr defaultRowHeight="14.4" x14ac:dyDescent="0.3"/>
  <cols>
    <col min="1" max="1" width="49.77734375" customWidth="1"/>
    <col min="2" max="2" width="20.33203125" customWidth="1"/>
    <col min="3" max="3" width="14" customWidth="1"/>
    <col min="4" max="4" width="13.109375" customWidth="1"/>
    <col min="5" max="5" width="13.44140625" customWidth="1"/>
    <col min="6" max="6" width="22.88671875" customWidth="1"/>
    <col min="7" max="7" width="28.44140625" customWidth="1"/>
    <col min="8" max="8" width="12.88671875" customWidth="1"/>
    <col min="9" max="9" width="30.44140625" customWidth="1"/>
  </cols>
  <sheetData>
    <row r="1" spans="1:11" ht="49.5" customHeight="1" x14ac:dyDescent="0.65">
      <c r="A1" s="37" t="s">
        <v>99</v>
      </c>
      <c r="B1" s="38"/>
      <c r="C1" s="38"/>
      <c r="D1" s="37"/>
      <c r="E1" s="37"/>
      <c r="F1" s="37"/>
      <c r="G1" s="37"/>
      <c r="H1" s="37"/>
      <c r="I1" s="37"/>
    </row>
    <row r="2" spans="1:11" ht="49.5" customHeight="1" x14ac:dyDescent="0.85">
      <c r="A2" s="39" t="s">
        <v>29</v>
      </c>
      <c r="B2" s="40"/>
      <c r="C2" s="40"/>
      <c r="D2" s="40"/>
      <c r="E2" s="40"/>
      <c r="F2" s="40"/>
      <c r="G2" s="40"/>
      <c r="H2" s="40"/>
      <c r="I2" s="41"/>
    </row>
    <row r="3" spans="1:11" ht="21.9" customHeight="1" x14ac:dyDescent="0.3">
      <c r="A3" s="42" t="s">
        <v>1</v>
      </c>
      <c r="B3" s="42" t="s">
        <v>0</v>
      </c>
      <c r="C3" s="42" t="s">
        <v>15</v>
      </c>
      <c r="D3" s="42" t="s">
        <v>14</v>
      </c>
      <c r="E3" s="42" t="s">
        <v>23</v>
      </c>
      <c r="F3" s="12" t="s">
        <v>3</v>
      </c>
      <c r="G3" s="13" t="s">
        <v>3</v>
      </c>
      <c r="H3" s="42" t="s">
        <v>2</v>
      </c>
      <c r="I3" s="12" t="s">
        <v>10</v>
      </c>
    </row>
    <row r="4" spans="1:11" ht="21.9" customHeight="1" x14ac:dyDescent="0.3">
      <c r="A4" s="43"/>
      <c r="B4" s="43"/>
      <c r="C4" s="43"/>
      <c r="D4" s="43"/>
      <c r="E4" s="43"/>
      <c r="F4" s="6" t="s">
        <v>24</v>
      </c>
      <c r="G4" s="6" t="s">
        <v>13</v>
      </c>
      <c r="H4" s="43"/>
      <c r="I4" s="6" t="s">
        <v>11</v>
      </c>
    </row>
    <row r="5" spans="1:11" ht="40.200000000000003" customHeight="1" x14ac:dyDescent="0.5">
      <c r="A5" s="4" t="s">
        <v>5</v>
      </c>
      <c r="B5" s="4" t="s">
        <v>26</v>
      </c>
      <c r="C5" s="4">
        <v>2.2000000000000002</v>
      </c>
      <c r="D5" s="4">
        <v>1.605</v>
      </c>
      <c r="E5" s="4">
        <f t="shared" ref="E5:E77" si="0">(C5*D5)</f>
        <v>3.5310000000000001</v>
      </c>
      <c r="F5" s="5">
        <v>23.7</v>
      </c>
      <c r="G5" s="5">
        <f t="shared" ref="G5:G77" si="1">E5*F5</f>
        <v>83.684700000000007</v>
      </c>
      <c r="H5" s="2"/>
      <c r="I5" s="5">
        <f t="shared" ref="I5:I70" si="2">H5*G5</f>
        <v>0</v>
      </c>
    </row>
    <row r="6" spans="1:11" ht="40.200000000000003" customHeight="1" x14ac:dyDescent="0.5">
      <c r="A6" s="4" t="s">
        <v>5</v>
      </c>
      <c r="B6" s="4" t="s">
        <v>26</v>
      </c>
      <c r="C6" s="4">
        <v>2</v>
      </c>
      <c r="D6" s="4">
        <v>1.605</v>
      </c>
      <c r="E6" s="4">
        <f t="shared" si="0"/>
        <v>3.21</v>
      </c>
      <c r="F6" s="5">
        <v>23.7</v>
      </c>
      <c r="G6" s="5">
        <f t="shared" si="1"/>
        <v>76.076999999999998</v>
      </c>
      <c r="H6" s="2"/>
      <c r="I6" s="5">
        <f t="shared" si="2"/>
        <v>0</v>
      </c>
    </row>
    <row r="7" spans="1:11" ht="40.200000000000003" customHeight="1" x14ac:dyDescent="0.5">
      <c r="A7" s="4" t="s">
        <v>5</v>
      </c>
      <c r="B7" s="4" t="s">
        <v>26</v>
      </c>
      <c r="C7" s="4">
        <v>2.4</v>
      </c>
      <c r="D7" s="4">
        <v>3.21</v>
      </c>
      <c r="E7" s="4">
        <f t="shared" si="0"/>
        <v>7.7039999999999997</v>
      </c>
      <c r="F7" s="5">
        <v>23.7</v>
      </c>
      <c r="G7" s="5">
        <f t="shared" si="1"/>
        <v>182.5848</v>
      </c>
      <c r="H7" s="2"/>
      <c r="I7" s="5">
        <f t="shared" si="2"/>
        <v>0</v>
      </c>
    </row>
    <row r="8" spans="1:11" ht="39.9" customHeight="1" x14ac:dyDescent="0.5">
      <c r="A8" s="4" t="s">
        <v>5</v>
      </c>
      <c r="B8" s="4" t="s">
        <v>27</v>
      </c>
      <c r="C8" s="4">
        <v>2.4</v>
      </c>
      <c r="D8" s="4">
        <v>3.21</v>
      </c>
      <c r="E8" s="4">
        <f t="shared" si="0"/>
        <v>7.7039999999999997</v>
      </c>
      <c r="F8" s="10">
        <v>24.3</v>
      </c>
      <c r="G8" s="5">
        <f t="shared" si="1"/>
        <v>187.2072</v>
      </c>
      <c r="H8" s="2"/>
      <c r="I8" s="5">
        <f t="shared" si="2"/>
        <v>0</v>
      </c>
    </row>
    <row r="9" spans="1:11" ht="40.200000000000003" customHeight="1" x14ac:dyDescent="0.5">
      <c r="A9" s="4" t="s">
        <v>5</v>
      </c>
      <c r="B9" s="4" t="s">
        <v>27</v>
      </c>
      <c r="C9" s="4">
        <v>2.2000000000000002</v>
      </c>
      <c r="D9" s="4">
        <v>1.605</v>
      </c>
      <c r="E9" s="4">
        <f t="shared" si="0"/>
        <v>3.5310000000000001</v>
      </c>
      <c r="F9" s="10">
        <v>24.3</v>
      </c>
      <c r="G9" s="5">
        <f t="shared" si="1"/>
        <v>85.803300000000007</v>
      </c>
      <c r="H9" s="2"/>
      <c r="I9" s="5">
        <f t="shared" si="2"/>
        <v>0</v>
      </c>
    </row>
    <row r="10" spans="1:11" ht="40.200000000000003" customHeight="1" x14ac:dyDescent="0.5">
      <c r="A10" s="4" t="s">
        <v>5</v>
      </c>
      <c r="B10" s="4" t="s">
        <v>27</v>
      </c>
      <c r="C10" s="4">
        <v>2.4</v>
      </c>
      <c r="D10" s="4">
        <v>1.605</v>
      </c>
      <c r="E10" s="4">
        <f t="shared" si="0"/>
        <v>3.8519999999999999</v>
      </c>
      <c r="F10" s="10">
        <v>24.3</v>
      </c>
      <c r="G10" s="5">
        <f t="shared" si="1"/>
        <v>93.6036</v>
      </c>
      <c r="H10" s="2"/>
      <c r="I10" s="5">
        <f t="shared" si="2"/>
        <v>0</v>
      </c>
    </row>
    <row r="11" spans="1:11" ht="39" customHeight="1" x14ac:dyDescent="0.7">
      <c r="A11" s="4" t="s">
        <v>5</v>
      </c>
      <c r="B11" s="4" t="s">
        <v>6</v>
      </c>
      <c r="C11" s="4">
        <v>2.4</v>
      </c>
      <c r="D11" s="4">
        <v>3.6</v>
      </c>
      <c r="E11" s="4">
        <f t="shared" si="0"/>
        <v>8.64</v>
      </c>
      <c r="F11" s="10">
        <v>35.5</v>
      </c>
      <c r="G11" s="5">
        <f t="shared" si="1"/>
        <v>306.72000000000003</v>
      </c>
      <c r="H11" s="2"/>
      <c r="I11" s="5">
        <f t="shared" si="2"/>
        <v>0</v>
      </c>
      <c r="J11" s="8"/>
      <c r="K11" s="1"/>
    </row>
    <row r="12" spans="1:11" ht="40.200000000000003" customHeight="1" x14ac:dyDescent="0.7">
      <c r="A12" s="4" t="s">
        <v>5</v>
      </c>
      <c r="B12" s="4" t="s">
        <v>6</v>
      </c>
      <c r="C12" s="4">
        <v>2.4</v>
      </c>
      <c r="D12" s="4">
        <v>3.21</v>
      </c>
      <c r="E12" s="4">
        <f t="shared" si="0"/>
        <v>7.7039999999999997</v>
      </c>
      <c r="F12" s="10">
        <v>35.5</v>
      </c>
      <c r="G12" s="5">
        <f t="shared" si="1"/>
        <v>273.49200000000002</v>
      </c>
      <c r="H12" s="2"/>
      <c r="I12" s="5">
        <f t="shared" si="2"/>
        <v>0</v>
      </c>
      <c r="J12" s="8"/>
      <c r="K12" s="1"/>
    </row>
    <row r="13" spans="1:11" ht="40.200000000000003" customHeight="1" x14ac:dyDescent="0.7">
      <c r="A13" s="4" t="s">
        <v>5</v>
      </c>
      <c r="B13" s="4" t="s">
        <v>6</v>
      </c>
      <c r="C13" s="4">
        <v>2.4</v>
      </c>
      <c r="D13" s="4">
        <v>1.605</v>
      </c>
      <c r="E13" s="4">
        <f t="shared" si="0"/>
        <v>3.8519999999999999</v>
      </c>
      <c r="F13" s="10">
        <v>35.5</v>
      </c>
      <c r="G13" s="5">
        <f t="shared" si="1"/>
        <v>136.74600000000001</v>
      </c>
      <c r="H13" s="2"/>
      <c r="I13" s="5">
        <f t="shared" si="2"/>
        <v>0</v>
      </c>
      <c r="J13" s="8"/>
      <c r="K13" s="1"/>
    </row>
    <row r="14" spans="1:11" ht="40.200000000000003" customHeight="1" x14ac:dyDescent="0.5">
      <c r="A14" s="4" t="s">
        <v>5</v>
      </c>
      <c r="B14" s="4" t="s">
        <v>16</v>
      </c>
      <c r="C14" s="4">
        <v>2.4</v>
      </c>
      <c r="D14" s="4">
        <v>3.21</v>
      </c>
      <c r="E14" s="4">
        <f t="shared" si="0"/>
        <v>7.7039999999999997</v>
      </c>
      <c r="F14" s="3">
        <v>46.5</v>
      </c>
      <c r="G14" s="5">
        <f t="shared" si="1"/>
        <v>358.23599999999999</v>
      </c>
      <c r="H14" s="2"/>
      <c r="I14" s="5">
        <f t="shared" si="2"/>
        <v>0</v>
      </c>
      <c r="J14" s="1"/>
      <c r="K14" s="1"/>
    </row>
    <row r="15" spans="1:11" ht="40.200000000000003" customHeight="1" x14ac:dyDescent="0.5">
      <c r="A15" s="4" t="s">
        <v>5</v>
      </c>
      <c r="B15" s="4" t="s">
        <v>16</v>
      </c>
      <c r="C15" s="4">
        <v>2.2000000000000002</v>
      </c>
      <c r="D15" s="4">
        <v>3.21</v>
      </c>
      <c r="E15" s="4">
        <f t="shared" si="0"/>
        <v>7.0620000000000003</v>
      </c>
      <c r="F15" s="3">
        <v>46.5</v>
      </c>
      <c r="G15" s="5">
        <f t="shared" si="1"/>
        <v>328.38300000000004</v>
      </c>
      <c r="H15" s="2"/>
      <c r="I15" s="5">
        <f t="shared" si="2"/>
        <v>0</v>
      </c>
      <c r="J15" s="1"/>
      <c r="K15" s="1"/>
    </row>
    <row r="16" spans="1:11" ht="40.200000000000003" customHeight="1" x14ac:dyDescent="0.5">
      <c r="A16" s="4" t="s">
        <v>5</v>
      </c>
      <c r="B16" s="4" t="s">
        <v>16</v>
      </c>
      <c r="C16" s="4">
        <v>2.2000000000000002</v>
      </c>
      <c r="D16" s="4">
        <v>1.605</v>
      </c>
      <c r="E16" s="4">
        <f t="shared" si="0"/>
        <v>3.5310000000000001</v>
      </c>
      <c r="F16" s="3">
        <v>46.5</v>
      </c>
      <c r="G16" s="5">
        <f t="shared" si="1"/>
        <v>164.19150000000002</v>
      </c>
      <c r="H16" s="2" t="s">
        <v>103</v>
      </c>
      <c r="I16" s="5">
        <f t="shared" si="2"/>
        <v>820.9575000000001</v>
      </c>
      <c r="J16" s="1"/>
      <c r="K16" s="1"/>
    </row>
    <row r="17" spans="1:11" ht="39" customHeight="1" x14ac:dyDescent="0.5">
      <c r="A17" s="4" t="s">
        <v>5</v>
      </c>
      <c r="B17" s="4" t="s">
        <v>8</v>
      </c>
      <c r="C17" s="4">
        <v>2.4</v>
      </c>
      <c r="D17" s="4">
        <v>1.605</v>
      </c>
      <c r="E17" s="4">
        <f t="shared" si="0"/>
        <v>3.8519999999999999</v>
      </c>
      <c r="F17" s="3">
        <v>49.95</v>
      </c>
      <c r="G17" s="5">
        <f t="shared" si="1"/>
        <v>192.4074</v>
      </c>
      <c r="H17" s="2"/>
      <c r="I17" s="5">
        <f t="shared" si="2"/>
        <v>0</v>
      </c>
      <c r="J17" s="1"/>
      <c r="K17" s="1"/>
    </row>
    <row r="18" spans="1:11" ht="39.9" customHeight="1" x14ac:dyDescent="0.5">
      <c r="A18" s="4" t="s">
        <v>5</v>
      </c>
      <c r="B18" s="4" t="s">
        <v>8</v>
      </c>
      <c r="C18" s="4">
        <v>2.4</v>
      </c>
      <c r="D18" s="4">
        <v>1.8</v>
      </c>
      <c r="E18" s="4">
        <f t="shared" si="0"/>
        <v>4.32</v>
      </c>
      <c r="F18" s="3">
        <v>49.95</v>
      </c>
      <c r="G18" s="5">
        <f t="shared" si="1"/>
        <v>215.78400000000002</v>
      </c>
      <c r="H18" s="2"/>
      <c r="I18" s="5">
        <f t="shared" si="2"/>
        <v>0</v>
      </c>
      <c r="J18" s="1"/>
      <c r="K18" s="1"/>
    </row>
    <row r="19" spans="1:11" ht="39.9" customHeight="1" x14ac:dyDescent="0.5">
      <c r="A19" s="4" t="s">
        <v>5</v>
      </c>
      <c r="B19" s="4" t="s">
        <v>8</v>
      </c>
      <c r="C19" s="4">
        <v>2.4</v>
      </c>
      <c r="D19" s="4">
        <v>3.6</v>
      </c>
      <c r="E19" s="4">
        <f t="shared" si="0"/>
        <v>8.64</v>
      </c>
      <c r="F19" s="3">
        <v>49.95</v>
      </c>
      <c r="G19" s="5">
        <f t="shared" si="1"/>
        <v>431.56800000000004</v>
      </c>
      <c r="H19" s="2"/>
      <c r="I19" s="5">
        <f t="shared" si="2"/>
        <v>0</v>
      </c>
      <c r="J19" s="1"/>
      <c r="K19" s="1"/>
    </row>
    <row r="20" spans="1:11" ht="39" customHeight="1" x14ac:dyDescent="0.5">
      <c r="A20" s="4" t="s">
        <v>5</v>
      </c>
      <c r="B20" s="4" t="s">
        <v>8</v>
      </c>
      <c r="C20" s="4">
        <v>2.4</v>
      </c>
      <c r="D20" s="4">
        <v>3.21</v>
      </c>
      <c r="E20" s="4">
        <f t="shared" si="0"/>
        <v>7.7039999999999997</v>
      </c>
      <c r="F20" s="3">
        <v>49.95</v>
      </c>
      <c r="G20" s="5">
        <f t="shared" si="1"/>
        <v>384.81479999999999</v>
      </c>
      <c r="H20" s="2"/>
      <c r="I20" s="5">
        <f t="shared" si="2"/>
        <v>0</v>
      </c>
      <c r="J20" s="1"/>
      <c r="K20" s="1"/>
    </row>
    <row r="21" spans="1:11" ht="39" customHeight="1" x14ac:dyDescent="0.5">
      <c r="A21" s="4" t="s">
        <v>5</v>
      </c>
      <c r="B21" s="4" t="s">
        <v>12</v>
      </c>
      <c r="C21" s="4">
        <v>2.2000000000000002</v>
      </c>
      <c r="D21" s="4">
        <v>3.21</v>
      </c>
      <c r="E21" s="4">
        <f t="shared" si="0"/>
        <v>7.0620000000000003</v>
      </c>
      <c r="F21" s="10">
        <v>73.5</v>
      </c>
      <c r="G21" s="5">
        <f t="shared" si="1"/>
        <v>519.05700000000002</v>
      </c>
      <c r="H21" s="2" t="s">
        <v>103</v>
      </c>
      <c r="I21" s="5">
        <f t="shared" si="2"/>
        <v>2595.2849999999999</v>
      </c>
      <c r="J21" s="1"/>
      <c r="K21" s="1"/>
    </row>
    <row r="22" spans="1:11" ht="39.9" customHeight="1" x14ac:dyDescent="0.5">
      <c r="A22" s="4" t="s">
        <v>5</v>
      </c>
      <c r="B22" s="4" t="s">
        <v>12</v>
      </c>
      <c r="C22" s="4">
        <v>2.4</v>
      </c>
      <c r="D22" s="4">
        <v>1.8</v>
      </c>
      <c r="E22" s="4">
        <f t="shared" si="0"/>
        <v>4.32</v>
      </c>
      <c r="F22" s="10">
        <v>73.5</v>
      </c>
      <c r="G22" s="5">
        <f t="shared" si="1"/>
        <v>317.52000000000004</v>
      </c>
      <c r="H22" s="2"/>
      <c r="I22" s="5">
        <f t="shared" si="2"/>
        <v>0</v>
      </c>
      <c r="J22" s="1"/>
      <c r="K22" s="1"/>
    </row>
    <row r="23" spans="1:11" ht="39.9" customHeight="1" x14ac:dyDescent="0.5">
      <c r="A23" s="4" t="s">
        <v>5</v>
      </c>
      <c r="B23" s="4" t="s">
        <v>12</v>
      </c>
      <c r="C23" s="4">
        <v>2.4</v>
      </c>
      <c r="D23" s="4">
        <v>1.605</v>
      </c>
      <c r="E23" s="4">
        <f t="shared" si="0"/>
        <v>3.8519999999999999</v>
      </c>
      <c r="F23" s="10">
        <v>73.5</v>
      </c>
      <c r="G23" s="5">
        <f t="shared" si="1"/>
        <v>283.12200000000001</v>
      </c>
      <c r="H23" s="2"/>
      <c r="I23" s="5">
        <f t="shared" si="2"/>
        <v>0</v>
      </c>
      <c r="J23" s="1"/>
      <c r="K23" s="1"/>
    </row>
    <row r="24" spans="1:11" ht="39.9" customHeight="1" x14ac:dyDescent="0.5">
      <c r="A24" s="4" t="s">
        <v>5</v>
      </c>
      <c r="B24" s="4" t="s">
        <v>12</v>
      </c>
      <c r="C24" s="4">
        <v>2.4</v>
      </c>
      <c r="D24" s="4">
        <v>3.21</v>
      </c>
      <c r="E24" s="4">
        <f t="shared" si="0"/>
        <v>7.7039999999999997</v>
      </c>
      <c r="F24" s="10">
        <v>73.5</v>
      </c>
      <c r="G24" s="5">
        <f t="shared" si="1"/>
        <v>566.24400000000003</v>
      </c>
      <c r="H24" s="2"/>
      <c r="I24" s="5">
        <f t="shared" si="2"/>
        <v>0</v>
      </c>
      <c r="J24" s="1"/>
      <c r="K24" s="1"/>
    </row>
    <row r="25" spans="1:11" ht="39.6" customHeight="1" x14ac:dyDescent="0.5">
      <c r="A25" s="4" t="s">
        <v>5</v>
      </c>
      <c r="B25" s="4" t="s">
        <v>17</v>
      </c>
      <c r="C25" s="4">
        <v>2.4</v>
      </c>
      <c r="D25" s="4">
        <v>3.21</v>
      </c>
      <c r="E25" s="4">
        <f t="shared" si="0"/>
        <v>7.7039999999999997</v>
      </c>
      <c r="F25" s="3">
        <v>95</v>
      </c>
      <c r="G25" s="5">
        <f t="shared" si="1"/>
        <v>731.88</v>
      </c>
      <c r="H25" s="2" t="s">
        <v>104</v>
      </c>
      <c r="I25" s="5">
        <f t="shared" si="2"/>
        <v>2195.64</v>
      </c>
      <c r="J25" s="1"/>
      <c r="K25" s="1"/>
    </row>
    <row r="26" spans="1:11" ht="39.6" customHeight="1" x14ac:dyDescent="0.5">
      <c r="A26" s="4" t="s">
        <v>5</v>
      </c>
      <c r="B26" s="4" t="s">
        <v>17</v>
      </c>
      <c r="C26" s="4">
        <v>2.4</v>
      </c>
      <c r="D26" s="4">
        <v>1.605</v>
      </c>
      <c r="E26" s="4">
        <f t="shared" si="0"/>
        <v>3.8519999999999999</v>
      </c>
      <c r="F26" s="3">
        <v>95</v>
      </c>
      <c r="G26" s="5">
        <f t="shared" si="1"/>
        <v>365.94</v>
      </c>
      <c r="H26" s="2"/>
      <c r="I26" s="5">
        <f t="shared" si="2"/>
        <v>0</v>
      </c>
      <c r="J26" s="1"/>
      <c r="K26" s="1"/>
    </row>
    <row r="27" spans="1:11" ht="39.9" customHeight="1" x14ac:dyDescent="0.5">
      <c r="A27" s="4" t="s">
        <v>5</v>
      </c>
      <c r="B27" s="4" t="s">
        <v>17</v>
      </c>
      <c r="C27" s="4">
        <v>2.4</v>
      </c>
      <c r="D27" s="4">
        <v>3.6</v>
      </c>
      <c r="E27" s="4">
        <f t="shared" si="0"/>
        <v>8.64</v>
      </c>
      <c r="F27" s="3">
        <v>95</v>
      </c>
      <c r="G27" s="5">
        <f t="shared" si="1"/>
        <v>820.80000000000007</v>
      </c>
      <c r="H27" s="2"/>
      <c r="I27" s="5">
        <f t="shared" si="2"/>
        <v>0</v>
      </c>
      <c r="J27" s="1"/>
      <c r="K27" s="1"/>
    </row>
    <row r="28" spans="1:11" ht="39.9" customHeight="1" x14ac:dyDescent="0.5">
      <c r="A28" s="4" t="s">
        <v>5</v>
      </c>
      <c r="B28" s="4" t="s">
        <v>17</v>
      </c>
      <c r="C28" s="4">
        <v>2.2000000000000002</v>
      </c>
      <c r="D28" s="4">
        <v>3.21</v>
      </c>
      <c r="E28" s="4">
        <f t="shared" si="0"/>
        <v>7.0620000000000003</v>
      </c>
      <c r="F28" s="3">
        <v>95</v>
      </c>
      <c r="G28" s="5">
        <f t="shared" si="1"/>
        <v>670.89</v>
      </c>
      <c r="H28" s="2" t="s">
        <v>105</v>
      </c>
      <c r="I28" s="5">
        <f t="shared" si="2"/>
        <v>4696.2299999999996</v>
      </c>
      <c r="J28" s="1"/>
      <c r="K28" s="1"/>
    </row>
    <row r="29" spans="1:11" ht="39.9" customHeight="1" x14ac:dyDescent="0.5">
      <c r="A29" s="4" t="s">
        <v>5</v>
      </c>
      <c r="B29" s="4" t="s">
        <v>70</v>
      </c>
      <c r="C29" s="4">
        <v>2.4</v>
      </c>
      <c r="D29" s="4">
        <v>1.605</v>
      </c>
      <c r="E29" s="4">
        <f t="shared" si="0"/>
        <v>3.8519999999999999</v>
      </c>
      <c r="F29" s="3">
        <v>125</v>
      </c>
      <c r="G29" s="5">
        <f t="shared" si="1"/>
        <v>481.5</v>
      </c>
      <c r="H29" s="2"/>
      <c r="I29" s="5">
        <f t="shared" si="2"/>
        <v>0</v>
      </c>
      <c r="J29" s="1"/>
      <c r="K29" s="1"/>
    </row>
    <row r="30" spans="1:11" ht="39.9" customHeight="1" x14ac:dyDescent="0.5">
      <c r="A30" s="4" t="s">
        <v>48</v>
      </c>
      <c r="B30" s="4" t="s">
        <v>7</v>
      </c>
      <c r="C30" s="4">
        <v>2.2000000000000002</v>
      </c>
      <c r="D30" s="4">
        <v>3.21</v>
      </c>
      <c r="E30" s="4">
        <f t="shared" si="0"/>
        <v>7.0620000000000003</v>
      </c>
      <c r="F30" s="5">
        <v>38.9</v>
      </c>
      <c r="G30" s="5">
        <f t="shared" si="1"/>
        <v>274.71179999999998</v>
      </c>
      <c r="H30" s="2"/>
      <c r="I30" s="5">
        <f t="shared" si="2"/>
        <v>0</v>
      </c>
      <c r="J30" s="1"/>
      <c r="K30" s="1"/>
    </row>
    <row r="31" spans="1:11" ht="39.9" customHeight="1" x14ac:dyDescent="0.5">
      <c r="A31" s="4" t="s">
        <v>48</v>
      </c>
      <c r="B31" s="4" t="s">
        <v>7</v>
      </c>
      <c r="C31" s="4">
        <v>2.2000000000000002</v>
      </c>
      <c r="D31" s="4">
        <v>1.605</v>
      </c>
      <c r="E31" s="4">
        <f t="shared" si="0"/>
        <v>3.5310000000000001</v>
      </c>
      <c r="F31" s="5">
        <v>38.9</v>
      </c>
      <c r="G31" s="5">
        <f t="shared" si="1"/>
        <v>137.35589999999999</v>
      </c>
      <c r="H31" s="2"/>
      <c r="I31" s="5">
        <f t="shared" si="2"/>
        <v>0</v>
      </c>
      <c r="J31" s="1"/>
      <c r="K31" s="1"/>
    </row>
    <row r="32" spans="1:11" ht="39.6" customHeight="1" x14ac:dyDescent="0.5">
      <c r="A32" s="4" t="s">
        <v>25</v>
      </c>
      <c r="B32" s="4" t="s">
        <v>7</v>
      </c>
      <c r="C32" s="4">
        <v>2.14</v>
      </c>
      <c r="D32" s="4">
        <v>3.21</v>
      </c>
      <c r="E32" s="4">
        <f t="shared" si="0"/>
        <v>6.8694000000000006</v>
      </c>
      <c r="F32" s="5">
        <v>61</v>
      </c>
      <c r="G32" s="5">
        <f t="shared" si="1"/>
        <v>419.03340000000003</v>
      </c>
      <c r="H32" s="2"/>
      <c r="I32" s="5">
        <f t="shared" si="2"/>
        <v>0</v>
      </c>
      <c r="J32" s="1"/>
      <c r="K32" s="1"/>
    </row>
    <row r="33" spans="1:11" ht="39.9" customHeight="1" x14ac:dyDescent="0.5">
      <c r="A33" s="4" t="s">
        <v>25</v>
      </c>
      <c r="B33" s="4" t="s">
        <v>7</v>
      </c>
      <c r="C33" s="4">
        <v>2.44</v>
      </c>
      <c r="D33" s="4">
        <v>1.83</v>
      </c>
      <c r="E33" s="4">
        <f t="shared" si="0"/>
        <v>4.4652000000000003</v>
      </c>
      <c r="F33" s="5">
        <v>61</v>
      </c>
      <c r="G33" s="5">
        <f t="shared" si="1"/>
        <v>272.37720000000002</v>
      </c>
      <c r="H33" s="2"/>
      <c r="I33" s="5">
        <f t="shared" si="2"/>
        <v>0</v>
      </c>
      <c r="J33" s="1"/>
      <c r="K33" s="1"/>
    </row>
    <row r="34" spans="1:11" ht="38.4" customHeight="1" x14ac:dyDescent="0.5">
      <c r="A34" s="4" t="s">
        <v>9</v>
      </c>
      <c r="B34" s="4" t="s">
        <v>6</v>
      </c>
      <c r="C34" s="4">
        <v>2.4</v>
      </c>
      <c r="D34" s="4">
        <v>3.21</v>
      </c>
      <c r="E34" s="4">
        <f t="shared" si="0"/>
        <v>7.7039999999999997</v>
      </c>
      <c r="F34" s="3">
        <v>48.9</v>
      </c>
      <c r="G34" s="5">
        <f t="shared" si="1"/>
        <v>376.72559999999999</v>
      </c>
      <c r="H34" s="2"/>
      <c r="I34" s="5">
        <f t="shared" si="2"/>
        <v>0</v>
      </c>
      <c r="J34" s="1"/>
      <c r="K34" s="1"/>
    </row>
    <row r="35" spans="1:11" ht="39" customHeight="1" x14ac:dyDescent="0.5">
      <c r="A35" s="4" t="s">
        <v>9</v>
      </c>
      <c r="B35" s="4" t="s">
        <v>6</v>
      </c>
      <c r="C35" s="4">
        <v>2.4</v>
      </c>
      <c r="D35" s="4">
        <v>1.605</v>
      </c>
      <c r="E35" s="4">
        <f t="shared" si="0"/>
        <v>3.8519999999999999</v>
      </c>
      <c r="F35" s="3">
        <v>48.9</v>
      </c>
      <c r="G35" s="5">
        <f t="shared" si="1"/>
        <v>188.36279999999999</v>
      </c>
      <c r="H35" s="2"/>
      <c r="I35" s="5">
        <f t="shared" si="2"/>
        <v>0</v>
      </c>
      <c r="J35" s="1"/>
      <c r="K35" s="1"/>
    </row>
    <row r="36" spans="1:11" ht="39" customHeight="1" x14ac:dyDescent="0.5">
      <c r="A36" s="4" t="s">
        <v>9</v>
      </c>
      <c r="B36" s="4" t="s">
        <v>16</v>
      </c>
      <c r="C36" s="4">
        <v>2.2000000000000002</v>
      </c>
      <c r="D36" s="4">
        <v>3.21</v>
      </c>
      <c r="E36" s="4">
        <f t="shared" si="0"/>
        <v>7.0620000000000003</v>
      </c>
      <c r="F36" s="3">
        <v>63</v>
      </c>
      <c r="G36" s="5">
        <f t="shared" si="1"/>
        <v>444.90600000000001</v>
      </c>
      <c r="H36" s="2"/>
      <c r="I36" s="5">
        <f t="shared" si="2"/>
        <v>0</v>
      </c>
      <c r="J36" s="1"/>
      <c r="K36" s="1"/>
    </row>
    <row r="37" spans="1:11" ht="39.9" customHeight="1" x14ac:dyDescent="0.5">
      <c r="A37" s="4" t="s">
        <v>9</v>
      </c>
      <c r="B37" s="4" t="s">
        <v>8</v>
      </c>
      <c r="C37" s="4">
        <v>2.4</v>
      </c>
      <c r="D37" s="4">
        <v>3.6</v>
      </c>
      <c r="E37" s="4">
        <f t="shared" si="0"/>
        <v>8.64</v>
      </c>
      <c r="F37" s="3">
        <v>68.5</v>
      </c>
      <c r="G37" s="5">
        <f t="shared" si="1"/>
        <v>591.84</v>
      </c>
      <c r="H37" s="2"/>
      <c r="I37" s="5">
        <f t="shared" si="2"/>
        <v>0</v>
      </c>
      <c r="J37" s="1"/>
      <c r="K37" s="1"/>
    </row>
    <row r="38" spans="1:11" ht="39.9" customHeight="1" x14ac:dyDescent="0.5">
      <c r="A38" s="4" t="s">
        <v>9</v>
      </c>
      <c r="B38" s="4" t="s">
        <v>8</v>
      </c>
      <c r="C38" s="4">
        <v>2.4</v>
      </c>
      <c r="D38" s="4">
        <v>1.605</v>
      </c>
      <c r="E38" s="4">
        <f t="shared" si="0"/>
        <v>3.8519999999999999</v>
      </c>
      <c r="F38" s="3">
        <v>68.5</v>
      </c>
      <c r="G38" s="5">
        <f t="shared" si="1"/>
        <v>263.86199999999997</v>
      </c>
      <c r="H38" s="2"/>
      <c r="I38" s="5">
        <f t="shared" si="2"/>
        <v>0</v>
      </c>
      <c r="J38" s="1"/>
      <c r="K38" s="1"/>
    </row>
    <row r="39" spans="1:11" ht="39.9" customHeight="1" x14ac:dyDescent="0.5">
      <c r="A39" s="4" t="s">
        <v>9</v>
      </c>
      <c r="B39" s="4" t="s">
        <v>12</v>
      </c>
      <c r="C39" s="4">
        <v>2.4</v>
      </c>
      <c r="D39" s="4">
        <v>3.6</v>
      </c>
      <c r="E39" s="4">
        <f t="shared" si="0"/>
        <v>8.64</v>
      </c>
      <c r="F39" s="3">
        <v>91</v>
      </c>
      <c r="G39" s="5">
        <f t="shared" si="1"/>
        <v>786.24</v>
      </c>
      <c r="H39" s="2"/>
      <c r="I39" s="5">
        <f t="shared" si="2"/>
        <v>0</v>
      </c>
      <c r="J39" s="1"/>
      <c r="K39" s="1"/>
    </row>
    <row r="40" spans="1:11" ht="39.9" customHeight="1" x14ac:dyDescent="0.5">
      <c r="A40" s="4" t="s">
        <v>9</v>
      </c>
      <c r="B40" s="4" t="s">
        <v>12</v>
      </c>
      <c r="C40" s="4">
        <v>2.4</v>
      </c>
      <c r="D40" s="4">
        <v>3.21</v>
      </c>
      <c r="E40" s="4">
        <f t="shared" si="0"/>
        <v>7.7039999999999997</v>
      </c>
      <c r="F40" s="3">
        <v>91</v>
      </c>
      <c r="G40" s="5">
        <f t="shared" si="1"/>
        <v>701.06399999999996</v>
      </c>
      <c r="H40" s="2"/>
      <c r="I40" s="5">
        <f t="shared" si="2"/>
        <v>0</v>
      </c>
      <c r="J40" s="1"/>
      <c r="K40" s="1"/>
    </row>
    <row r="41" spans="1:11" ht="39.9" customHeight="1" x14ac:dyDescent="0.5">
      <c r="A41" s="4" t="s">
        <v>9</v>
      </c>
      <c r="B41" s="4" t="s">
        <v>17</v>
      </c>
      <c r="C41" s="4">
        <v>2.4</v>
      </c>
      <c r="D41" s="4">
        <v>3.21</v>
      </c>
      <c r="E41" s="4">
        <f t="shared" si="0"/>
        <v>7.7039999999999997</v>
      </c>
      <c r="F41" s="3">
        <v>125</v>
      </c>
      <c r="G41" s="5">
        <f t="shared" si="1"/>
        <v>963</v>
      </c>
      <c r="H41" s="2"/>
      <c r="I41" s="5">
        <f t="shared" si="2"/>
        <v>0</v>
      </c>
      <c r="J41" s="1"/>
      <c r="K41" s="1"/>
    </row>
    <row r="42" spans="1:11" ht="39" customHeight="1" x14ac:dyDescent="0.5">
      <c r="A42" s="4" t="s">
        <v>39</v>
      </c>
      <c r="B42" s="4" t="s">
        <v>6</v>
      </c>
      <c r="C42" s="4">
        <v>2.4</v>
      </c>
      <c r="D42" s="4">
        <v>1.605</v>
      </c>
      <c r="E42" s="4">
        <f t="shared" si="0"/>
        <v>3.8519999999999999</v>
      </c>
      <c r="F42" s="3">
        <v>48.9</v>
      </c>
      <c r="G42" s="5">
        <f t="shared" si="1"/>
        <v>188.36279999999999</v>
      </c>
      <c r="H42" s="2"/>
      <c r="I42" s="5">
        <f t="shared" si="2"/>
        <v>0</v>
      </c>
      <c r="J42" s="1"/>
      <c r="K42" s="1"/>
    </row>
    <row r="43" spans="1:11" ht="39" customHeight="1" x14ac:dyDescent="0.5">
      <c r="A43" s="4" t="s">
        <v>39</v>
      </c>
      <c r="B43" s="4" t="s">
        <v>6</v>
      </c>
      <c r="C43" s="4">
        <v>2.4</v>
      </c>
      <c r="D43" s="4">
        <v>3.21</v>
      </c>
      <c r="E43" s="4">
        <f t="shared" si="0"/>
        <v>7.7039999999999997</v>
      </c>
      <c r="F43" s="3">
        <v>48.9</v>
      </c>
      <c r="G43" s="5">
        <f t="shared" si="1"/>
        <v>376.72559999999999</v>
      </c>
      <c r="H43" s="2"/>
      <c r="I43" s="5">
        <f t="shared" si="2"/>
        <v>0</v>
      </c>
      <c r="J43" s="1"/>
      <c r="K43" s="1"/>
    </row>
    <row r="44" spans="1:11" ht="39" customHeight="1" x14ac:dyDescent="0.5">
      <c r="A44" s="4" t="s">
        <v>39</v>
      </c>
      <c r="B44" s="4" t="s">
        <v>16</v>
      </c>
      <c r="C44" s="4">
        <v>2.4</v>
      </c>
      <c r="D44" s="4">
        <v>1.605</v>
      </c>
      <c r="E44" s="4">
        <f t="shared" si="0"/>
        <v>3.8519999999999999</v>
      </c>
      <c r="F44" s="3">
        <v>63</v>
      </c>
      <c r="G44" s="5">
        <f t="shared" si="1"/>
        <v>242.67599999999999</v>
      </c>
      <c r="H44" s="2"/>
      <c r="I44" s="5">
        <f t="shared" si="2"/>
        <v>0</v>
      </c>
      <c r="J44" s="1"/>
      <c r="K44" s="1"/>
    </row>
    <row r="45" spans="1:11" ht="39" customHeight="1" x14ac:dyDescent="0.5">
      <c r="A45" s="4" t="s">
        <v>39</v>
      </c>
      <c r="B45" s="4" t="s">
        <v>8</v>
      </c>
      <c r="C45" s="4">
        <v>2.4</v>
      </c>
      <c r="D45" s="4">
        <v>3.21</v>
      </c>
      <c r="E45" s="4">
        <f t="shared" si="0"/>
        <v>7.7039999999999997</v>
      </c>
      <c r="F45" s="3">
        <v>68.5</v>
      </c>
      <c r="G45" s="5">
        <f t="shared" si="1"/>
        <v>527.72399999999993</v>
      </c>
      <c r="H45" s="2"/>
      <c r="I45" s="5">
        <f t="shared" si="2"/>
        <v>0</v>
      </c>
      <c r="J45" s="1"/>
      <c r="K45" s="1"/>
    </row>
    <row r="46" spans="1:11" ht="39" customHeight="1" x14ac:dyDescent="0.5">
      <c r="A46" s="4" t="s">
        <v>39</v>
      </c>
      <c r="B46" s="4" t="s">
        <v>8</v>
      </c>
      <c r="C46" s="4">
        <v>2.4</v>
      </c>
      <c r="D46" s="4">
        <v>1.605</v>
      </c>
      <c r="E46" s="4">
        <f t="shared" si="0"/>
        <v>3.8519999999999999</v>
      </c>
      <c r="F46" s="3">
        <v>68.5</v>
      </c>
      <c r="G46" s="5">
        <f t="shared" si="1"/>
        <v>263.86199999999997</v>
      </c>
      <c r="H46" s="2"/>
      <c r="I46" s="5">
        <f t="shared" si="2"/>
        <v>0</v>
      </c>
      <c r="J46" s="1"/>
      <c r="K46" s="1"/>
    </row>
    <row r="47" spans="1:11" ht="39.9" customHeight="1" x14ac:dyDescent="0.5">
      <c r="A47" s="4" t="s">
        <v>39</v>
      </c>
      <c r="B47" s="4" t="s">
        <v>12</v>
      </c>
      <c r="C47" s="4">
        <v>2.4</v>
      </c>
      <c r="D47" s="4">
        <v>1.605</v>
      </c>
      <c r="E47" s="4">
        <f t="shared" si="0"/>
        <v>3.8519999999999999</v>
      </c>
      <c r="F47" s="3">
        <v>91</v>
      </c>
      <c r="G47" s="5">
        <f t="shared" si="1"/>
        <v>350.53199999999998</v>
      </c>
      <c r="H47" s="2"/>
      <c r="I47" s="5">
        <f t="shared" si="2"/>
        <v>0</v>
      </c>
      <c r="J47" s="1"/>
      <c r="K47" s="1"/>
    </row>
    <row r="48" spans="1:11" ht="39.9" customHeight="1" x14ac:dyDescent="0.5">
      <c r="A48" s="4" t="s">
        <v>39</v>
      </c>
      <c r="B48" s="4" t="s">
        <v>12</v>
      </c>
      <c r="C48" s="4">
        <v>2.4</v>
      </c>
      <c r="D48" s="4">
        <v>3.6</v>
      </c>
      <c r="E48" s="4">
        <f t="shared" si="0"/>
        <v>8.64</v>
      </c>
      <c r="F48" s="3">
        <v>91</v>
      </c>
      <c r="G48" s="5">
        <f t="shared" si="1"/>
        <v>786.24</v>
      </c>
      <c r="H48" s="2"/>
      <c r="I48" s="5">
        <f t="shared" si="2"/>
        <v>0</v>
      </c>
      <c r="J48" s="1"/>
      <c r="K48" s="1"/>
    </row>
    <row r="49" spans="1:11" ht="39.9" customHeight="1" x14ac:dyDescent="0.5">
      <c r="A49" s="4" t="s">
        <v>39</v>
      </c>
      <c r="B49" s="4" t="s">
        <v>17</v>
      </c>
      <c r="C49" s="4">
        <v>2.4</v>
      </c>
      <c r="D49" s="4">
        <v>3.21</v>
      </c>
      <c r="E49" s="4">
        <f t="shared" si="0"/>
        <v>7.7039999999999997</v>
      </c>
      <c r="F49" s="3">
        <v>125</v>
      </c>
      <c r="G49" s="5">
        <f t="shared" si="1"/>
        <v>963</v>
      </c>
      <c r="H49" s="2"/>
      <c r="I49" s="5">
        <f t="shared" si="2"/>
        <v>0</v>
      </c>
      <c r="J49" s="1"/>
      <c r="K49" s="1"/>
    </row>
    <row r="50" spans="1:11" ht="39.9" customHeight="1" x14ac:dyDescent="0.5">
      <c r="A50" s="4" t="s">
        <v>31</v>
      </c>
      <c r="B50" s="4" t="s">
        <v>28</v>
      </c>
      <c r="C50" s="4">
        <v>2.2000000000000002</v>
      </c>
      <c r="D50" s="4">
        <v>1.605</v>
      </c>
      <c r="E50" s="4">
        <f t="shared" ref="E50" si="3">(C50*D50)</f>
        <v>3.5310000000000001</v>
      </c>
      <c r="F50" s="3">
        <v>63.9</v>
      </c>
      <c r="G50" s="5">
        <f t="shared" ref="G50" si="4">E50*F50</f>
        <v>225.6309</v>
      </c>
      <c r="H50" s="2"/>
      <c r="I50" s="5">
        <f t="shared" ref="I50" si="5">H50*G50</f>
        <v>0</v>
      </c>
      <c r="J50" s="1"/>
      <c r="K50" s="1"/>
    </row>
    <row r="51" spans="1:11" ht="39.9" customHeight="1" x14ac:dyDescent="0.5">
      <c r="A51" s="4" t="s">
        <v>31</v>
      </c>
      <c r="B51" s="4" t="s">
        <v>7</v>
      </c>
      <c r="C51" s="4">
        <v>2.4</v>
      </c>
      <c r="D51" s="4">
        <v>1.605</v>
      </c>
      <c r="E51" s="4">
        <f t="shared" si="0"/>
        <v>3.8519999999999999</v>
      </c>
      <c r="F51" s="3">
        <v>49.99</v>
      </c>
      <c r="G51" s="5">
        <f t="shared" si="1"/>
        <v>192.56147999999999</v>
      </c>
      <c r="H51" s="2"/>
      <c r="I51" s="5">
        <f t="shared" si="2"/>
        <v>0</v>
      </c>
      <c r="J51" s="1"/>
      <c r="K51" s="1"/>
    </row>
    <row r="52" spans="1:11" ht="39.9" customHeight="1" x14ac:dyDescent="0.5">
      <c r="A52" s="4" t="s">
        <v>31</v>
      </c>
      <c r="B52" s="4" t="s">
        <v>6</v>
      </c>
      <c r="C52" s="4">
        <v>2.4</v>
      </c>
      <c r="D52" s="4">
        <v>1.605</v>
      </c>
      <c r="E52" s="4">
        <f t="shared" ref="E52" si="6">(C52*D52)</f>
        <v>3.8519999999999999</v>
      </c>
      <c r="F52" s="3">
        <v>68.900000000000006</v>
      </c>
      <c r="G52" s="5">
        <f t="shared" ref="G52" si="7">E52*F52</f>
        <v>265.40280000000001</v>
      </c>
      <c r="H52" s="2"/>
      <c r="I52" s="5">
        <f t="shared" ref="I52" si="8">H52*G52</f>
        <v>0</v>
      </c>
      <c r="J52" s="1"/>
      <c r="K52" s="1"/>
    </row>
    <row r="53" spans="1:11" ht="40.200000000000003" customHeight="1" x14ac:dyDescent="0.5">
      <c r="A53" s="4" t="s">
        <v>49</v>
      </c>
      <c r="B53" s="4" t="s">
        <v>7</v>
      </c>
      <c r="C53" s="4">
        <v>2.4</v>
      </c>
      <c r="D53" s="4">
        <v>1.605</v>
      </c>
      <c r="E53" s="4">
        <f t="shared" si="0"/>
        <v>3.8519999999999999</v>
      </c>
      <c r="F53" s="3">
        <v>49.99</v>
      </c>
      <c r="G53" s="5">
        <f t="shared" si="1"/>
        <v>192.56147999999999</v>
      </c>
      <c r="H53" s="2"/>
      <c r="I53" s="5">
        <f t="shared" si="2"/>
        <v>0</v>
      </c>
      <c r="J53" s="1"/>
      <c r="K53" s="1"/>
    </row>
    <row r="54" spans="1:11" ht="39.9" customHeight="1" x14ac:dyDescent="0.5">
      <c r="A54" s="4" t="s">
        <v>49</v>
      </c>
      <c r="B54" s="4" t="s">
        <v>7</v>
      </c>
      <c r="C54" s="4">
        <v>2.4</v>
      </c>
      <c r="D54" s="4">
        <v>3.21</v>
      </c>
      <c r="E54" s="4">
        <f t="shared" si="0"/>
        <v>7.7039999999999997</v>
      </c>
      <c r="F54" s="3">
        <v>49.99</v>
      </c>
      <c r="G54" s="5">
        <f t="shared" si="1"/>
        <v>385.12295999999998</v>
      </c>
      <c r="H54" s="2"/>
      <c r="I54" s="5">
        <f t="shared" si="2"/>
        <v>0</v>
      </c>
      <c r="J54" s="1"/>
      <c r="K54" s="1"/>
    </row>
    <row r="55" spans="1:11" ht="39.9" customHeight="1" x14ac:dyDescent="0.5">
      <c r="A55" s="4" t="s">
        <v>49</v>
      </c>
      <c r="B55" s="4" t="s">
        <v>7</v>
      </c>
      <c r="C55" s="4">
        <v>2.4</v>
      </c>
      <c r="D55" s="4">
        <v>1.605</v>
      </c>
      <c r="E55" s="4">
        <f t="shared" si="0"/>
        <v>3.8519999999999999</v>
      </c>
      <c r="F55" s="3">
        <v>49.99</v>
      </c>
      <c r="G55" s="5">
        <f t="shared" si="1"/>
        <v>192.56147999999999</v>
      </c>
      <c r="H55" s="2"/>
      <c r="I55" s="5">
        <f t="shared" si="2"/>
        <v>0</v>
      </c>
      <c r="J55" s="1"/>
      <c r="K55" s="1"/>
    </row>
    <row r="56" spans="1:11" ht="39.9" customHeight="1" x14ac:dyDescent="0.5">
      <c r="A56" s="4" t="s">
        <v>40</v>
      </c>
      <c r="B56" s="4" t="s">
        <v>7</v>
      </c>
      <c r="C56" s="4">
        <v>2.68</v>
      </c>
      <c r="D56" s="4">
        <v>1.8</v>
      </c>
      <c r="E56" s="4">
        <f t="shared" si="0"/>
        <v>4.8240000000000007</v>
      </c>
      <c r="F56" s="3">
        <v>62.9</v>
      </c>
      <c r="G56" s="5">
        <f t="shared" si="1"/>
        <v>303.42960000000005</v>
      </c>
      <c r="H56" s="2"/>
      <c r="I56" s="5">
        <f t="shared" si="2"/>
        <v>0</v>
      </c>
      <c r="J56" s="1"/>
      <c r="K56" s="1"/>
    </row>
    <row r="57" spans="1:11" ht="36.6" customHeight="1" x14ac:dyDescent="0.5">
      <c r="A57" s="4" t="s">
        <v>40</v>
      </c>
      <c r="B57" s="4" t="s">
        <v>7</v>
      </c>
      <c r="C57" s="4">
        <v>2.4</v>
      </c>
      <c r="D57" s="4">
        <v>1.605</v>
      </c>
      <c r="E57" s="4">
        <f t="shared" si="0"/>
        <v>3.8519999999999999</v>
      </c>
      <c r="F57" s="3">
        <v>62.9</v>
      </c>
      <c r="G57" s="5">
        <f t="shared" si="1"/>
        <v>242.29079999999999</v>
      </c>
      <c r="H57" s="2"/>
      <c r="I57" s="5">
        <f t="shared" si="2"/>
        <v>0</v>
      </c>
      <c r="J57" s="1"/>
      <c r="K57" s="1"/>
    </row>
    <row r="58" spans="1:11" ht="39.9" customHeight="1" x14ac:dyDescent="0.5">
      <c r="A58" s="4" t="s">
        <v>40</v>
      </c>
      <c r="B58" s="4" t="s">
        <v>7</v>
      </c>
      <c r="C58" s="4">
        <v>2.4</v>
      </c>
      <c r="D58" s="4">
        <v>3.21</v>
      </c>
      <c r="E58" s="4">
        <f t="shared" si="0"/>
        <v>7.7039999999999997</v>
      </c>
      <c r="F58" s="3">
        <v>62.9</v>
      </c>
      <c r="G58" s="5">
        <f t="shared" si="1"/>
        <v>484.58159999999998</v>
      </c>
      <c r="H58" s="2"/>
      <c r="I58" s="5">
        <f t="shared" si="2"/>
        <v>0</v>
      </c>
      <c r="J58" s="1"/>
      <c r="K58" s="1"/>
    </row>
    <row r="59" spans="1:11" ht="39.9" customHeight="1" x14ac:dyDescent="0.5">
      <c r="A59" s="4" t="s">
        <v>41</v>
      </c>
      <c r="B59" s="4" t="s">
        <v>7</v>
      </c>
      <c r="C59" s="4">
        <v>2.4</v>
      </c>
      <c r="D59" s="4">
        <v>3.21</v>
      </c>
      <c r="E59" s="4">
        <f t="shared" si="0"/>
        <v>7.7039999999999997</v>
      </c>
      <c r="F59" s="3">
        <v>62.9</v>
      </c>
      <c r="G59" s="5">
        <f t="shared" si="1"/>
        <v>484.58159999999998</v>
      </c>
      <c r="H59" s="2"/>
      <c r="I59" s="5">
        <f t="shared" si="2"/>
        <v>0</v>
      </c>
      <c r="J59" s="1"/>
      <c r="K59" s="1"/>
    </row>
    <row r="60" spans="1:11" ht="39.9" customHeight="1" x14ac:dyDescent="0.5">
      <c r="A60" s="4" t="s">
        <v>41</v>
      </c>
      <c r="B60" s="4" t="s">
        <v>7</v>
      </c>
      <c r="C60" s="4">
        <v>2.4</v>
      </c>
      <c r="D60" s="4">
        <v>1.605</v>
      </c>
      <c r="E60" s="4">
        <f t="shared" si="0"/>
        <v>3.8519999999999999</v>
      </c>
      <c r="F60" s="3">
        <v>62.9</v>
      </c>
      <c r="G60" s="5">
        <f t="shared" si="1"/>
        <v>242.29079999999999</v>
      </c>
      <c r="H60" s="2"/>
      <c r="I60" s="5">
        <f t="shared" si="2"/>
        <v>0</v>
      </c>
      <c r="J60" s="1"/>
      <c r="K60" s="1"/>
    </row>
    <row r="61" spans="1:11" ht="39" customHeight="1" x14ac:dyDescent="0.5">
      <c r="A61" s="4" t="s">
        <v>49</v>
      </c>
      <c r="B61" s="4" t="s">
        <v>6</v>
      </c>
      <c r="C61" s="4">
        <v>2.4</v>
      </c>
      <c r="D61" s="4">
        <v>3.21</v>
      </c>
      <c r="E61" s="4">
        <f t="shared" si="0"/>
        <v>7.7039999999999997</v>
      </c>
      <c r="F61" s="3">
        <v>68.900000000000006</v>
      </c>
      <c r="G61" s="5">
        <f t="shared" si="1"/>
        <v>530.80560000000003</v>
      </c>
      <c r="H61" s="2"/>
      <c r="I61" s="5">
        <f t="shared" si="2"/>
        <v>0</v>
      </c>
      <c r="J61" s="1"/>
      <c r="K61" s="1"/>
    </row>
    <row r="62" spans="1:11" ht="39.6" customHeight="1" x14ac:dyDescent="0.5">
      <c r="A62" s="4" t="s">
        <v>40</v>
      </c>
      <c r="B62" s="4" t="s">
        <v>6</v>
      </c>
      <c r="C62" s="4">
        <v>1.1000000000000001</v>
      </c>
      <c r="D62" s="4">
        <v>3.21</v>
      </c>
      <c r="E62" s="4">
        <f t="shared" si="0"/>
        <v>3.5310000000000001</v>
      </c>
      <c r="F62" s="10">
        <v>77.900000000000006</v>
      </c>
      <c r="G62" s="5">
        <f t="shared" si="1"/>
        <v>275.06490000000002</v>
      </c>
      <c r="H62" s="2"/>
      <c r="I62" s="5">
        <f t="shared" si="2"/>
        <v>0</v>
      </c>
      <c r="J62" s="1"/>
      <c r="K62" s="1"/>
    </row>
    <row r="63" spans="1:11" ht="39.9" customHeight="1" x14ac:dyDescent="0.5">
      <c r="A63" s="4" t="s">
        <v>40</v>
      </c>
      <c r="B63" s="4" t="s">
        <v>6</v>
      </c>
      <c r="C63" s="4">
        <v>2.4</v>
      </c>
      <c r="D63" s="4">
        <v>1.605</v>
      </c>
      <c r="E63" s="4">
        <f t="shared" ref="E63" si="9">(C63*D63)</f>
        <v>3.8519999999999999</v>
      </c>
      <c r="F63" s="10">
        <v>77.900000000000006</v>
      </c>
      <c r="G63" s="5">
        <f t="shared" ref="G63" si="10">E63*F63</f>
        <v>300.07080000000002</v>
      </c>
      <c r="H63" s="2" t="s">
        <v>87</v>
      </c>
      <c r="I63" s="5">
        <f t="shared" ref="I63" si="11">H63*G63</f>
        <v>3000.7080000000001</v>
      </c>
      <c r="J63" s="1"/>
      <c r="K63" s="1"/>
    </row>
    <row r="64" spans="1:11" ht="39.9" customHeight="1" x14ac:dyDescent="0.5">
      <c r="A64" s="4" t="s">
        <v>40</v>
      </c>
      <c r="B64" s="4" t="s">
        <v>6</v>
      </c>
      <c r="C64" s="4">
        <v>2.4</v>
      </c>
      <c r="D64" s="4">
        <v>3.21</v>
      </c>
      <c r="E64" s="4">
        <f t="shared" si="0"/>
        <v>7.7039999999999997</v>
      </c>
      <c r="F64" s="10">
        <v>77.900000000000006</v>
      </c>
      <c r="G64" s="5">
        <f t="shared" si="1"/>
        <v>600.14160000000004</v>
      </c>
      <c r="H64" s="2"/>
      <c r="I64" s="5">
        <f t="shared" si="2"/>
        <v>0</v>
      </c>
      <c r="J64" s="1"/>
      <c r="K64" s="1"/>
    </row>
    <row r="65" spans="1:11" ht="39.9" customHeight="1" x14ac:dyDescent="0.5">
      <c r="A65" s="4" t="s">
        <v>42</v>
      </c>
      <c r="B65" s="4" t="s">
        <v>6</v>
      </c>
      <c r="C65" s="4">
        <v>2.4</v>
      </c>
      <c r="D65" s="4">
        <v>3.21</v>
      </c>
      <c r="E65" s="4">
        <f t="shared" si="0"/>
        <v>7.7039999999999997</v>
      </c>
      <c r="F65" s="3">
        <v>130</v>
      </c>
      <c r="G65" s="5">
        <f t="shared" si="1"/>
        <v>1001.52</v>
      </c>
      <c r="H65" s="2"/>
      <c r="I65" s="5">
        <f t="shared" si="2"/>
        <v>0</v>
      </c>
      <c r="J65" s="1"/>
      <c r="K65" s="1"/>
    </row>
    <row r="66" spans="1:11" ht="39.9" customHeight="1" x14ac:dyDescent="0.5">
      <c r="A66" s="4" t="s">
        <v>42</v>
      </c>
      <c r="B66" s="4" t="s">
        <v>6</v>
      </c>
      <c r="C66" s="4">
        <v>2.4</v>
      </c>
      <c r="D66" s="4">
        <v>1.605</v>
      </c>
      <c r="E66" s="4">
        <f t="shared" si="0"/>
        <v>3.8519999999999999</v>
      </c>
      <c r="F66" s="3">
        <v>130</v>
      </c>
      <c r="G66" s="5">
        <f t="shared" si="1"/>
        <v>500.76</v>
      </c>
      <c r="H66" s="2"/>
      <c r="I66" s="5">
        <f t="shared" si="2"/>
        <v>0</v>
      </c>
      <c r="J66" s="1"/>
      <c r="K66" s="1"/>
    </row>
    <row r="67" spans="1:11" ht="39.9" customHeight="1" x14ac:dyDescent="0.5">
      <c r="A67" s="4" t="s">
        <v>82</v>
      </c>
      <c r="B67" s="4" t="s">
        <v>6</v>
      </c>
      <c r="C67" s="4">
        <v>2.4</v>
      </c>
      <c r="D67" s="4">
        <v>3.21</v>
      </c>
      <c r="E67" s="4">
        <f t="shared" si="0"/>
        <v>7.7039999999999997</v>
      </c>
      <c r="F67" s="3">
        <v>115</v>
      </c>
      <c r="G67" s="5">
        <f t="shared" si="1"/>
        <v>885.95999999999992</v>
      </c>
      <c r="H67" s="2"/>
      <c r="I67" s="5">
        <f t="shared" si="2"/>
        <v>0</v>
      </c>
      <c r="J67" s="1"/>
      <c r="K67" s="1"/>
    </row>
    <row r="68" spans="1:11" ht="39.9" customHeight="1" x14ac:dyDescent="0.5">
      <c r="A68" s="4" t="s">
        <v>41</v>
      </c>
      <c r="B68" s="4" t="s">
        <v>6</v>
      </c>
      <c r="C68" s="4">
        <v>2.2000000000000002</v>
      </c>
      <c r="D68" s="4">
        <v>3.21</v>
      </c>
      <c r="E68" s="4">
        <f t="shared" si="0"/>
        <v>7.0620000000000003</v>
      </c>
      <c r="F68" s="3">
        <v>77.900000000000006</v>
      </c>
      <c r="G68" s="5">
        <f t="shared" si="1"/>
        <v>550.12980000000005</v>
      </c>
      <c r="H68" s="2"/>
      <c r="I68" s="5">
        <f t="shared" si="2"/>
        <v>0</v>
      </c>
      <c r="J68" s="1"/>
      <c r="K68" s="1"/>
    </row>
    <row r="69" spans="1:11" ht="39.9" customHeight="1" x14ac:dyDescent="0.5">
      <c r="A69" s="4" t="s">
        <v>41</v>
      </c>
      <c r="B69" s="4" t="s">
        <v>6</v>
      </c>
      <c r="C69" s="4">
        <v>2.4</v>
      </c>
      <c r="D69" s="4">
        <v>1.605</v>
      </c>
      <c r="E69" s="4">
        <f t="shared" si="0"/>
        <v>3.8519999999999999</v>
      </c>
      <c r="F69" s="3">
        <v>77.900000000000006</v>
      </c>
      <c r="G69" s="5">
        <f t="shared" si="1"/>
        <v>300.07080000000002</v>
      </c>
      <c r="H69" s="2"/>
      <c r="I69" s="5">
        <f t="shared" si="2"/>
        <v>0</v>
      </c>
      <c r="J69" s="1"/>
      <c r="K69" s="1"/>
    </row>
    <row r="70" spans="1:11" ht="39.6" customHeight="1" x14ac:dyDescent="0.5">
      <c r="A70" s="4" t="s">
        <v>41</v>
      </c>
      <c r="B70" s="4" t="s">
        <v>6</v>
      </c>
      <c r="C70" s="4">
        <v>2.4</v>
      </c>
      <c r="D70" s="4">
        <v>3.21</v>
      </c>
      <c r="E70" s="4">
        <f t="shared" si="0"/>
        <v>7.7039999999999997</v>
      </c>
      <c r="F70" s="3">
        <v>77.900000000000006</v>
      </c>
      <c r="G70" s="5">
        <f t="shared" si="1"/>
        <v>600.14160000000004</v>
      </c>
      <c r="H70" s="2"/>
      <c r="I70" s="5">
        <f t="shared" si="2"/>
        <v>0</v>
      </c>
      <c r="J70" s="1"/>
      <c r="K70" s="1"/>
    </row>
    <row r="71" spans="1:11" ht="39.9" customHeight="1" x14ac:dyDescent="0.5">
      <c r="A71" s="4" t="s">
        <v>40</v>
      </c>
      <c r="B71" s="4" t="s">
        <v>16</v>
      </c>
      <c r="C71" s="4">
        <v>2.4</v>
      </c>
      <c r="D71" s="4">
        <v>3.21</v>
      </c>
      <c r="E71" s="4">
        <f t="shared" si="0"/>
        <v>7.7039999999999997</v>
      </c>
      <c r="F71" s="3">
        <v>110</v>
      </c>
      <c r="G71" s="5">
        <f t="shared" si="1"/>
        <v>847.43999999999994</v>
      </c>
      <c r="H71" s="2"/>
      <c r="I71" s="5">
        <f t="shared" ref="I71:I101" si="12">H71*G71</f>
        <v>0</v>
      </c>
      <c r="J71" s="1"/>
      <c r="K71" s="1"/>
    </row>
    <row r="72" spans="1:11" ht="39.9" customHeight="1" x14ac:dyDescent="0.5">
      <c r="A72" s="4" t="s">
        <v>40</v>
      </c>
      <c r="B72" s="4" t="s">
        <v>8</v>
      </c>
      <c r="C72" s="4">
        <v>2.4</v>
      </c>
      <c r="D72" s="4">
        <v>3.21</v>
      </c>
      <c r="E72" s="4">
        <f t="shared" si="0"/>
        <v>7.7039999999999997</v>
      </c>
      <c r="F72" s="3">
        <v>120</v>
      </c>
      <c r="G72" s="5">
        <f t="shared" si="1"/>
        <v>924.48</v>
      </c>
      <c r="H72" s="2"/>
      <c r="I72" s="5">
        <f t="shared" si="12"/>
        <v>0</v>
      </c>
      <c r="J72" s="1"/>
      <c r="K72" s="1"/>
    </row>
    <row r="73" spans="1:11" ht="39" customHeight="1" x14ac:dyDescent="0.5">
      <c r="A73" s="4" t="s">
        <v>40</v>
      </c>
      <c r="B73" s="4" t="s">
        <v>8</v>
      </c>
      <c r="C73" s="4">
        <v>2.4</v>
      </c>
      <c r="D73" s="4">
        <v>1.605</v>
      </c>
      <c r="E73" s="4">
        <f t="shared" si="0"/>
        <v>3.8519999999999999</v>
      </c>
      <c r="F73" s="3">
        <v>120</v>
      </c>
      <c r="G73" s="5">
        <f t="shared" si="1"/>
        <v>462.24</v>
      </c>
      <c r="H73" s="2"/>
      <c r="I73" s="5">
        <f t="shared" si="12"/>
        <v>0</v>
      </c>
      <c r="J73" s="1"/>
      <c r="K73" s="1"/>
    </row>
    <row r="74" spans="1:11" ht="39.9" customHeight="1" x14ac:dyDescent="0.5">
      <c r="A74" s="4" t="s">
        <v>77</v>
      </c>
      <c r="B74" s="4" t="s">
        <v>19</v>
      </c>
      <c r="C74" s="4">
        <v>2.4</v>
      </c>
      <c r="D74" s="4">
        <v>3.21</v>
      </c>
      <c r="E74" s="4">
        <f t="shared" si="0"/>
        <v>7.7039999999999997</v>
      </c>
      <c r="F74" s="3">
        <v>106</v>
      </c>
      <c r="G74" s="5">
        <f t="shared" si="1"/>
        <v>816.62400000000002</v>
      </c>
      <c r="H74" s="2" t="s">
        <v>86</v>
      </c>
      <c r="I74" s="5">
        <f t="shared" si="12"/>
        <v>2449.8720000000003</v>
      </c>
      <c r="J74" s="1"/>
      <c r="K74" s="1"/>
    </row>
    <row r="75" spans="1:11" ht="39.9" customHeight="1" x14ac:dyDescent="0.5">
      <c r="A75" s="4" t="s">
        <v>78</v>
      </c>
      <c r="B75" s="4" t="s">
        <v>19</v>
      </c>
      <c r="C75" s="4">
        <v>2.14</v>
      </c>
      <c r="D75" s="4">
        <v>3.33</v>
      </c>
      <c r="E75" s="4">
        <f t="shared" si="0"/>
        <v>7.1262000000000008</v>
      </c>
      <c r="F75" s="3">
        <v>93.4</v>
      </c>
      <c r="G75" s="5">
        <f t="shared" si="1"/>
        <v>665.58708000000013</v>
      </c>
      <c r="H75" s="2"/>
      <c r="I75" s="5">
        <f t="shared" si="12"/>
        <v>0</v>
      </c>
      <c r="J75" s="1"/>
      <c r="K75" s="1"/>
    </row>
    <row r="76" spans="1:11" ht="39.9" customHeight="1" x14ac:dyDescent="0.5">
      <c r="A76" s="4" t="s">
        <v>77</v>
      </c>
      <c r="B76" s="4" t="s">
        <v>20</v>
      </c>
      <c r="C76" s="4">
        <v>2.4</v>
      </c>
      <c r="D76" s="4">
        <v>3.21</v>
      </c>
      <c r="E76" s="4">
        <f t="shared" si="0"/>
        <v>7.7039999999999997</v>
      </c>
      <c r="F76" s="3">
        <v>115</v>
      </c>
      <c r="G76" s="5">
        <f t="shared" si="1"/>
        <v>885.95999999999992</v>
      </c>
      <c r="H76" s="2" t="s">
        <v>84</v>
      </c>
      <c r="I76" s="5">
        <f t="shared" si="12"/>
        <v>1771.9199999999998</v>
      </c>
      <c r="J76" s="1"/>
      <c r="K76" s="1"/>
    </row>
    <row r="77" spans="1:11" ht="39.9" customHeight="1" x14ac:dyDescent="0.5">
      <c r="A77" s="4" t="s">
        <v>78</v>
      </c>
      <c r="B77" s="4" t="s">
        <v>20</v>
      </c>
      <c r="C77" s="4">
        <v>2.14</v>
      </c>
      <c r="D77" s="4">
        <v>3.3</v>
      </c>
      <c r="E77" s="4">
        <f t="shared" si="0"/>
        <v>7.0620000000000003</v>
      </c>
      <c r="F77" s="3">
        <v>113.4</v>
      </c>
      <c r="G77" s="5">
        <f t="shared" si="1"/>
        <v>800.83080000000007</v>
      </c>
      <c r="H77" s="2"/>
      <c r="I77" s="5">
        <f t="shared" si="12"/>
        <v>0</v>
      </c>
      <c r="J77" s="1"/>
      <c r="K77" s="1"/>
    </row>
    <row r="78" spans="1:11" ht="39.9" customHeight="1" x14ac:dyDescent="0.5">
      <c r="A78" s="4" t="s">
        <v>77</v>
      </c>
      <c r="B78" s="4" t="s">
        <v>30</v>
      </c>
      <c r="C78" s="4">
        <v>2.4</v>
      </c>
      <c r="D78" s="4">
        <v>3.21</v>
      </c>
      <c r="E78" s="4">
        <f t="shared" ref="E78" si="13">(C78*D78)</f>
        <v>7.7039999999999997</v>
      </c>
      <c r="F78" s="3">
        <v>147</v>
      </c>
      <c r="G78" s="5">
        <f t="shared" ref="G78" si="14">E78*F78</f>
        <v>1132.4880000000001</v>
      </c>
      <c r="H78" s="2"/>
      <c r="I78" s="5">
        <f t="shared" ref="I78" si="15">H78*G78</f>
        <v>0</v>
      </c>
      <c r="J78" s="1"/>
      <c r="K78" s="1"/>
    </row>
    <row r="79" spans="1:11" ht="39.9" customHeight="1" x14ac:dyDescent="0.5">
      <c r="A79" s="4" t="s">
        <v>97</v>
      </c>
      <c r="B79" s="4" t="s">
        <v>30</v>
      </c>
      <c r="C79" s="4">
        <v>2.14</v>
      </c>
      <c r="D79" s="4">
        <v>3.3</v>
      </c>
      <c r="E79" s="4">
        <f t="shared" ref="E79" si="16">(C79*D79)</f>
        <v>7.0620000000000003</v>
      </c>
      <c r="F79" s="3">
        <v>145</v>
      </c>
      <c r="G79" s="5">
        <f t="shared" ref="G79" si="17">E79*F79</f>
        <v>1023.99</v>
      </c>
      <c r="H79" s="2"/>
      <c r="I79" s="5">
        <f t="shared" ref="I79" si="18">H79*G79</f>
        <v>0</v>
      </c>
      <c r="J79" s="1"/>
      <c r="K79" s="1"/>
    </row>
    <row r="80" spans="1:11" ht="39.9" customHeight="1" x14ac:dyDescent="0.5">
      <c r="A80" s="4" t="s">
        <v>80</v>
      </c>
      <c r="B80" s="4" t="s">
        <v>19</v>
      </c>
      <c r="C80" s="4">
        <v>2.4</v>
      </c>
      <c r="D80" s="4">
        <v>3.21</v>
      </c>
      <c r="E80" s="4">
        <f t="shared" ref="E80:E106" si="19">(C80*D80)</f>
        <v>7.7039999999999997</v>
      </c>
      <c r="F80" s="3">
        <v>130</v>
      </c>
      <c r="G80" s="5">
        <f t="shared" ref="G80:G98" si="20">E80*F80</f>
        <v>1001.52</v>
      </c>
      <c r="H80" s="2"/>
      <c r="I80" s="5">
        <f t="shared" si="12"/>
        <v>0</v>
      </c>
      <c r="J80" s="1"/>
      <c r="K80" s="1"/>
    </row>
    <row r="81" spans="1:11" ht="39.9" customHeight="1" x14ac:dyDescent="0.5">
      <c r="A81" s="4" t="s">
        <v>98</v>
      </c>
      <c r="B81" s="4" t="s">
        <v>19</v>
      </c>
      <c r="C81" s="4">
        <v>2.14</v>
      </c>
      <c r="D81" s="4">
        <v>3.3</v>
      </c>
      <c r="E81" s="4">
        <f t="shared" ref="E81" si="21">(C81*D81)</f>
        <v>7.0620000000000003</v>
      </c>
      <c r="F81" s="3">
        <v>130</v>
      </c>
      <c r="G81" s="5">
        <f t="shared" ref="G81" si="22">E81*F81</f>
        <v>918.06000000000006</v>
      </c>
      <c r="H81" s="2"/>
      <c r="I81" s="5">
        <f t="shared" ref="I81" si="23">H81*G81</f>
        <v>0</v>
      </c>
      <c r="J81" s="1"/>
      <c r="K81" s="1"/>
    </row>
    <row r="82" spans="1:11" ht="39.9" customHeight="1" x14ac:dyDescent="0.5">
      <c r="A82" s="4" t="s">
        <v>80</v>
      </c>
      <c r="B82" s="4" t="s">
        <v>20</v>
      </c>
      <c r="C82" s="4">
        <v>2.4</v>
      </c>
      <c r="D82" s="4">
        <v>3.21</v>
      </c>
      <c r="E82" s="4">
        <f t="shared" si="19"/>
        <v>7.7039999999999997</v>
      </c>
      <c r="F82" s="3">
        <v>150</v>
      </c>
      <c r="G82" s="5">
        <f t="shared" si="20"/>
        <v>1155.5999999999999</v>
      </c>
      <c r="H82" s="2"/>
      <c r="I82" s="5">
        <f t="shared" si="12"/>
        <v>0</v>
      </c>
      <c r="J82" s="1"/>
      <c r="K82" s="1"/>
    </row>
    <row r="83" spans="1:11" ht="39.9" customHeight="1" x14ac:dyDescent="0.5">
      <c r="A83" s="4" t="s">
        <v>79</v>
      </c>
      <c r="B83" s="4" t="s">
        <v>20</v>
      </c>
      <c r="C83" s="4">
        <v>2.14</v>
      </c>
      <c r="D83" s="4">
        <v>3.66</v>
      </c>
      <c r="E83" s="4">
        <f t="shared" si="19"/>
        <v>7.8324000000000007</v>
      </c>
      <c r="F83" s="3">
        <v>155</v>
      </c>
      <c r="G83" s="5">
        <f t="shared" si="20"/>
        <v>1214.0220000000002</v>
      </c>
      <c r="H83" s="2"/>
      <c r="I83" s="5">
        <f t="shared" si="12"/>
        <v>0</v>
      </c>
      <c r="J83" s="1"/>
      <c r="K83" s="1"/>
    </row>
    <row r="84" spans="1:11" ht="39.9" customHeight="1" x14ac:dyDescent="0.5">
      <c r="A84" s="4" t="s">
        <v>80</v>
      </c>
      <c r="B84" s="4" t="s">
        <v>30</v>
      </c>
      <c r="C84" s="4">
        <v>2.14</v>
      </c>
      <c r="D84" s="4">
        <v>3.3</v>
      </c>
      <c r="E84" s="4">
        <f t="shared" si="19"/>
        <v>7.0620000000000003</v>
      </c>
      <c r="F84" s="3">
        <v>180</v>
      </c>
      <c r="G84" s="5">
        <f t="shared" si="20"/>
        <v>1271.1600000000001</v>
      </c>
      <c r="H84" s="2"/>
      <c r="I84" s="5">
        <f t="shared" si="12"/>
        <v>0</v>
      </c>
      <c r="J84" s="1"/>
      <c r="K84" s="1"/>
    </row>
    <row r="85" spans="1:11" ht="39.6" customHeight="1" x14ac:dyDescent="0.5">
      <c r="A85" s="30" t="s">
        <v>83</v>
      </c>
      <c r="B85" s="4" t="s">
        <v>20</v>
      </c>
      <c r="C85" s="4">
        <v>2.4</v>
      </c>
      <c r="D85" s="4">
        <v>3.21</v>
      </c>
      <c r="E85" s="4">
        <f t="shared" si="19"/>
        <v>7.7039999999999997</v>
      </c>
      <c r="F85" s="3">
        <v>185</v>
      </c>
      <c r="G85" s="5">
        <f t="shared" si="20"/>
        <v>1425.24</v>
      </c>
      <c r="H85" s="7"/>
      <c r="I85" s="3">
        <f t="shared" si="12"/>
        <v>0</v>
      </c>
    </row>
    <row r="86" spans="1:11" ht="39.6" customHeight="1" x14ac:dyDescent="0.5">
      <c r="A86" s="30" t="s">
        <v>83</v>
      </c>
      <c r="B86" s="4" t="s">
        <v>20</v>
      </c>
      <c r="C86" s="4">
        <v>2</v>
      </c>
      <c r="D86" s="4">
        <v>3.21</v>
      </c>
      <c r="E86" s="4">
        <f t="shared" si="19"/>
        <v>6.42</v>
      </c>
      <c r="F86" s="3">
        <v>185</v>
      </c>
      <c r="G86" s="5">
        <f t="shared" si="20"/>
        <v>1187.7</v>
      </c>
      <c r="H86" s="7"/>
      <c r="I86" s="3">
        <f t="shared" si="12"/>
        <v>0</v>
      </c>
    </row>
    <row r="87" spans="1:11" ht="39" customHeight="1" x14ac:dyDescent="0.5">
      <c r="A87" s="9" t="s">
        <v>4</v>
      </c>
      <c r="B87" s="9" t="s">
        <v>21</v>
      </c>
      <c r="C87" s="9">
        <v>2.2000000000000002</v>
      </c>
      <c r="D87" s="9">
        <v>1.9</v>
      </c>
      <c r="E87" s="9">
        <f t="shared" si="19"/>
        <v>4.18</v>
      </c>
      <c r="F87" s="10">
        <v>41.4</v>
      </c>
      <c r="G87" s="10">
        <f t="shared" si="20"/>
        <v>173.05199999999999</v>
      </c>
      <c r="H87" s="11"/>
      <c r="I87" s="10">
        <f t="shared" si="12"/>
        <v>0</v>
      </c>
      <c r="J87" s="1"/>
      <c r="K87" s="1"/>
    </row>
    <row r="88" spans="1:11" ht="39" customHeight="1" x14ac:dyDescent="0.5">
      <c r="A88" s="9" t="s">
        <v>4</v>
      </c>
      <c r="B88" s="9" t="s">
        <v>21</v>
      </c>
      <c r="C88" s="9">
        <v>1.83</v>
      </c>
      <c r="D88" s="9">
        <v>2.44</v>
      </c>
      <c r="E88" s="9">
        <f t="shared" ref="E88" si="24">(C88*D88)</f>
        <v>4.4652000000000003</v>
      </c>
      <c r="F88" s="10">
        <v>41.4</v>
      </c>
      <c r="G88" s="10">
        <f t="shared" ref="G88" si="25">E88*F88</f>
        <v>184.85928000000001</v>
      </c>
      <c r="H88" s="11" t="s">
        <v>102</v>
      </c>
      <c r="I88" s="10">
        <f t="shared" ref="I88" si="26">H88*G88</f>
        <v>8318.6676000000007</v>
      </c>
      <c r="J88" s="1"/>
      <c r="K88" s="1"/>
    </row>
    <row r="89" spans="1:11" ht="39" customHeight="1" x14ac:dyDescent="0.5">
      <c r="A89" s="9" t="s">
        <v>4</v>
      </c>
      <c r="B89" s="9" t="s">
        <v>21</v>
      </c>
      <c r="C89" s="9">
        <v>1.9</v>
      </c>
      <c r="D89" s="9">
        <v>2.2000000000000002</v>
      </c>
      <c r="E89" s="9">
        <f t="shared" si="19"/>
        <v>4.18</v>
      </c>
      <c r="F89" s="10">
        <v>41.4</v>
      </c>
      <c r="G89" s="10">
        <f t="shared" si="20"/>
        <v>173.05199999999999</v>
      </c>
      <c r="H89" s="11"/>
      <c r="I89" s="10">
        <f t="shared" si="12"/>
        <v>0</v>
      </c>
      <c r="J89" s="1"/>
      <c r="K89" s="1"/>
    </row>
    <row r="90" spans="1:11" ht="39.6" customHeight="1" x14ac:dyDescent="0.5">
      <c r="A90" s="4" t="s">
        <v>22</v>
      </c>
      <c r="B90" s="4" t="s">
        <v>21</v>
      </c>
      <c r="C90" s="4">
        <v>1.83</v>
      </c>
      <c r="D90" s="4">
        <v>2.44</v>
      </c>
      <c r="E90" s="4">
        <f t="shared" si="19"/>
        <v>4.4652000000000003</v>
      </c>
      <c r="F90" s="3">
        <v>41.4</v>
      </c>
      <c r="G90" s="5">
        <f t="shared" si="20"/>
        <v>184.85928000000001</v>
      </c>
      <c r="H90" s="2"/>
      <c r="I90" s="5">
        <f t="shared" si="12"/>
        <v>0</v>
      </c>
      <c r="J90" s="1"/>
      <c r="K90" s="1"/>
    </row>
    <row r="91" spans="1:11" ht="39" customHeight="1" x14ac:dyDescent="0.5">
      <c r="A91" s="4" t="s">
        <v>22</v>
      </c>
      <c r="B91" s="4" t="s">
        <v>21</v>
      </c>
      <c r="C91" s="4">
        <v>2.2000000000000002</v>
      </c>
      <c r="D91" s="4">
        <v>1.9</v>
      </c>
      <c r="E91" s="4">
        <f t="shared" si="19"/>
        <v>4.18</v>
      </c>
      <c r="F91" s="3">
        <v>41.4</v>
      </c>
      <c r="G91" s="5">
        <f t="shared" si="20"/>
        <v>173.05199999999999</v>
      </c>
      <c r="H91" s="2"/>
      <c r="I91" s="5">
        <f t="shared" si="12"/>
        <v>0</v>
      </c>
      <c r="J91" s="1"/>
      <c r="K91" s="1"/>
    </row>
    <row r="92" spans="1:11" ht="39" customHeight="1" x14ac:dyDescent="0.5">
      <c r="A92" s="4" t="s">
        <v>81</v>
      </c>
      <c r="B92" s="4" t="s">
        <v>21</v>
      </c>
      <c r="C92" s="4">
        <v>2.2000000000000002</v>
      </c>
      <c r="D92" s="4">
        <v>1.9</v>
      </c>
      <c r="E92" s="4">
        <f t="shared" si="19"/>
        <v>4.18</v>
      </c>
      <c r="F92" s="3">
        <v>41.4</v>
      </c>
      <c r="G92" s="5">
        <f t="shared" si="20"/>
        <v>173.05199999999999</v>
      </c>
      <c r="H92" s="2"/>
      <c r="I92" s="5">
        <f t="shared" si="12"/>
        <v>0</v>
      </c>
      <c r="J92" s="1"/>
      <c r="K92" s="1"/>
    </row>
    <row r="93" spans="1:11" ht="39.9" customHeight="1" x14ac:dyDescent="0.5">
      <c r="A93" s="4" t="s">
        <v>43</v>
      </c>
      <c r="B93" s="4" t="s">
        <v>35</v>
      </c>
      <c r="C93" s="4">
        <v>2.4</v>
      </c>
      <c r="D93" s="4">
        <v>3.21</v>
      </c>
      <c r="E93" s="4">
        <f t="shared" si="19"/>
        <v>7.7039999999999997</v>
      </c>
      <c r="F93" s="3">
        <v>98</v>
      </c>
      <c r="G93" s="5">
        <f t="shared" si="20"/>
        <v>754.99199999999996</v>
      </c>
      <c r="H93" s="2"/>
      <c r="I93" s="5">
        <f t="shared" si="12"/>
        <v>0</v>
      </c>
      <c r="J93" s="1"/>
      <c r="K93" s="1"/>
    </row>
    <row r="94" spans="1:11" ht="39.6" customHeight="1" x14ac:dyDescent="0.5">
      <c r="A94" s="4" t="s">
        <v>36</v>
      </c>
      <c r="B94" s="4" t="s">
        <v>26</v>
      </c>
      <c r="C94" s="4">
        <v>2.2000000000000002</v>
      </c>
      <c r="D94" s="4">
        <v>1.83</v>
      </c>
      <c r="E94" s="4">
        <f t="shared" si="19"/>
        <v>4.0260000000000007</v>
      </c>
      <c r="F94" s="14">
        <v>59.9</v>
      </c>
      <c r="G94" s="5">
        <f t="shared" si="20"/>
        <v>241.15740000000002</v>
      </c>
      <c r="H94" s="2"/>
      <c r="I94" s="5">
        <f t="shared" si="12"/>
        <v>0</v>
      </c>
      <c r="J94" s="1"/>
      <c r="K94" s="1"/>
    </row>
    <row r="95" spans="1:11" ht="39.6" customHeight="1" x14ac:dyDescent="0.5">
      <c r="A95" s="4" t="s">
        <v>36</v>
      </c>
      <c r="B95" s="4" t="s">
        <v>26</v>
      </c>
      <c r="C95" s="4">
        <v>1.53</v>
      </c>
      <c r="D95" s="4">
        <v>1.9</v>
      </c>
      <c r="E95" s="4">
        <f t="shared" si="19"/>
        <v>2.907</v>
      </c>
      <c r="F95" s="14">
        <v>59.9</v>
      </c>
      <c r="G95" s="5">
        <f t="shared" si="20"/>
        <v>174.1293</v>
      </c>
      <c r="H95" s="2"/>
      <c r="I95" s="5">
        <f t="shared" si="12"/>
        <v>0</v>
      </c>
      <c r="J95" s="1"/>
      <c r="K95" s="1"/>
    </row>
    <row r="96" spans="1:11" ht="39.9" customHeight="1" x14ac:dyDescent="0.5">
      <c r="A96" s="4" t="s">
        <v>52</v>
      </c>
      <c r="B96" s="4" t="s">
        <v>27</v>
      </c>
      <c r="C96" s="4">
        <v>2.4</v>
      </c>
      <c r="D96" s="4">
        <v>1.605</v>
      </c>
      <c r="E96" s="4">
        <f t="shared" si="19"/>
        <v>3.8519999999999999</v>
      </c>
      <c r="F96" s="3">
        <v>45</v>
      </c>
      <c r="G96" s="5">
        <f t="shared" si="20"/>
        <v>173.34</v>
      </c>
      <c r="H96" s="2"/>
      <c r="I96" s="5">
        <f t="shared" si="12"/>
        <v>0</v>
      </c>
      <c r="J96" s="1"/>
      <c r="K96" s="1"/>
    </row>
    <row r="97" spans="1:11" ht="39.9" customHeight="1" x14ac:dyDescent="0.5">
      <c r="A97" s="4" t="s">
        <v>52</v>
      </c>
      <c r="B97" s="4" t="s">
        <v>35</v>
      </c>
      <c r="C97" s="4">
        <v>2.4</v>
      </c>
      <c r="D97" s="4">
        <v>1.605</v>
      </c>
      <c r="E97" s="4">
        <f t="shared" si="19"/>
        <v>3.8519999999999999</v>
      </c>
      <c r="F97" s="3">
        <v>65.5</v>
      </c>
      <c r="G97" s="5">
        <f t="shared" si="20"/>
        <v>252.30599999999998</v>
      </c>
      <c r="H97" s="2"/>
      <c r="I97" s="5">
        <f t="shared" si="12"/>
        <v>0</v>
      </c>
      <c r="J97" s="1"/>
      <c r="K97" s="1"/>
    </row>
    <row r="98" spans="1:11" ht="39.9" customHeight="1" x14ac:dyDescent="0.5">
      <c r="A98" s="4" t="s">
        <v>52</v>
      </c>
      <c r="B98" s="4" t="s">
        <v>35</v>
      </c>
      <c r="C98" s="4">
        <v>2.4</v>
      </c>
      <c r="D98" s="4">
        <v>3.21</v>
      </c>
      <c r="E98" s="4">
        <f t="shared" si="19"/>
        <v>7.7039999999999997</v>
      </c>
      <c r="F98" s="3">
        <v>65.5</v>
      </c>
      <c r="G98" s="5">
        <f t="shared" si="20"/>
        <v>504.61199999999997</v>
      </c>
      <c r="H98" s="2"/>
      <c r="I98" s="5">
        <f t="shared" si="12"/>
        <v>0</v>
      </c>
      <c r="J98" s="1"/>
      <c r="K98" s="1"/>
    </row>
    <row r="99" spans="1:11" ht="39.9" customHeight="1" x14ac:dyDescent="0.5">
      <c r="A99" s="4" t="s">
        <v>47</v>
      </c>
      <c r="B99" s="4" t="s">
        <v>35</v>
      </c>
      <c r="C99" s="4">
        <v>2.4</v>
      </c>
      <c r="D99" s="4">
        <v>1.605</v>
      </c>
      <c r="E99" s="4">
        <f t="shared" si="19"/>
        <v>3.8519999999999999</v>
      </c>
      <c r="F99" s="3">
        <v>109</v>
      </c>
      <c r="G99" s="5">
        <f>E99*F99</f>
        <v>419.86799999999999</v>
      </c>
      <c r="H99" s="2"/>
      <c r="I99" s="5">
        <f t="shared" si="12"/>
        <v>0</v>
      </c>
      <c r="J99" s="1"/>
      <c r="K99" s="1"/>
    </row>
    <row r="100" spans="1:11" ht="39.9" customHeight="1" x14ac:dyDescent="0.5">
      <c r="A100" s="4" t="s">
        <v>46</v>
      </c>
      <c r="B100" s="4" t="s">
        <v>35</v>
      </c>
      <c r="C100" s="4">
        <v>2.4</v>
      </c>
      <c r="D100" s="4">
        <v>1.605</v>
      </c>
      <c r="E100" s="4">
        <f t="shared" si="19"/>
        <v>3.8519999999999999</v>
      </c>
      <c r="F100" s="3">
        <v>65.5</v>
      </c>
      <c r="G100" s="5">
        <f>E100*F100</f>
        <v>252.30599999999998</v>
      </c>
      <c r="H100" s="2"/>
      <c r="I100" s="5">
        <f t="shared" si="12"/>
        <v>0</v>
      </c>
    </row>
    <row r="101" spans="1:11" ht="39" customHeight="1" x14ac:dyDescent="0.5">
      <c r="A101" s="4" t="s">
        <v>46</v>
      </c>
      <c r="B101" s="4" t="s">
        <v>35</v>
      </c>
      <c r="C101" s="4">
        <v>2.2000000000000002</v>
      </c>
      <c r="D101" s="4">
        <v>3.6</v>
      </c>
      <c r="E101" s="4">
        <f t="shared" si="19"/>
        <v>7.9200000000000008</v>
      </c>
      <c r="F101" s="3">
        <v>65.5</v>
      </c>
      <c r="G101" s="5">
        <f t="shared" ref="G101:G106" si="27">E101*F101</f>
        <v>518.7600000000001</v>
      </c>
      <c r="H101" s="2"/>
      <c r="I101" s="5">
        <f t="shared" si="12"/>
        <v>0</v>
      </c>
    </row>
    <row r="102" spans="1:11" ht="39" customHeight="1" x14ac:dyDescent="0.5">
      <c r="A102" s="4" t="s">
        <v>46</v>
      </c>
      <c r="B102" s="4" t="s">
        <v>35</v>
      </c>
      <c r="C102" s="4">
        <v>2.4</v>
      </c>
      <c r="D102" s="4">
        <v>3.21</v>
      </c>
      <c r="E102" s="4">
        <f t="shared" si="19"/>
        <v>7.7039999999999997</v>
      </c>
      <c r="F102" s="3">
        <v>65.5</v>
      </c>
      <c r="G102" s="5">
        <f t="shared" si="27"/>
        <v>504.61199999999997</v>
      </c>
      <c r="H102" s="2"/>
      <c r="I102" s="5">
        <f>H102*G102</f>
        <v>0</v>
      </c>
    </row>
    <row r="103" spans="1:11" ht="39.9" customHeight="1" x14ac:dyDescent="0.5">
      <c r="A103" s="4" t="s">
        <v>34</v>
      </c>
      <c r="B103" s="4" t="s">
        <v>35</v>
      </c>
      <c r="C103" s="4">
        <v>2.4</v>
      </c>
      <c r="D103" s="4">
        <v>3.21</v>
      </c>
      <c r="E103" s="4">
        <f t="shared" ref="E103" si="28">(C103*D103)</f>
        <v>7.7039999999999997</v>
      </c>
      <c r="F103" s="3">
        <v>57</v>
      </c>
      <c r="G103" s="5">
        <f t="shared" ref="G103" si="29">E103*F103</f>
        <v>439.12799999999999</v>
      </c>
      <c r="H103" s="2" t="s">
        <v>101</v>
      </c>
      <c r="I103" s="5">
        <f t="shared" ref="I103:I104" si="30">H103*G103</f>
        <v>1756.5119999999999</v>
      </c>
    </row>
    <row r="104" spans="1:11" ht="39.9" customHeight="1" x14ac:dyDescent="0.5">
      <c r="A104" s="4" t="s">
        <v>34</v>
      </c>
      <c r="B104" s="4" t="s">
        <v>73</v>
      </c>
      <c r="C104" s="4">
        <v>2.2000000000000002</v>
      </c>
      <c r="D104" s="4">
        <v>3.21</v>
      </c>
      <c r="E104" s="4">
        <f t="shared" si="19"/>
        <v>7.0620000000000003</v>
      </c>
      <c r="F104" s="3">
        <v>88</v>
      </c>
      <c r="G104" s="5">
        <f t="shared" si="27"/>
        <v>621.45600000000002</v>
      </c>
      <c r="H104" s="31"/>
      <c r="I104" s="5">
        <f t="shared" si="30"/>
        <v>0</v>
      </c>
    </row>
    <row r="105" spans="1:11" ht="39.9" customHeight="1" x14ac:dyDescent="0.5">
      <c r="A105" s="4" t="s">
        <v>34</v>
      </c>
      <c r="B105" s="4" t="s">
        <v>74</v>
      </c>
      <c r="C105" s="4">
        <v>2.14</v>
      </c>
      <c r="D105" s="4">
        <v>1.65</v>
      </c>
      <c r="E105" s="4">
        <f t="shared" si="19"/>
        <v>3.5310000000000001</v>
      </c>
      <c r="F105" s="3">
        <v>118</v>
      </c>
      <c r="G105" s="5">
        <f t="shared" si="27"/>
        <v>416.65800000000002</v>
      </c>
      <c r="H105" s="2"/>
      <c r="I105" s="5">
        <f t="shared" ref="I105" si="31">H105*G105</f>
        <v>0</v>
      </c>
    </row>
    <row r="106" spans="1:11" ht="39.9" customHeight="1" x14ac:dyDescent="0.5">
      <c r="A106" s="4" t="s">
        <v>34</v>
      </c>
      <c r="B106" s="4" t="s">
        <v>75</v>
      </c>
      <c r="C106" s="4">
        <v>2.14</v>
      </c>
      <c r="D106" s="4">
        <v>1.65</v>
      </c>
      <c r="E106" s="4">
        <f t="shared" si="19"/>
        <v>3.5310000000000001</v>
      </c>
      <c r="F106" s="3">
        <v>147</v>
      </c>
      <c r="G106" s="5">
        <f t="shared" si="27"/>
        <v>519.05700000000002</v>
      </c>
      <c r="H106" s="2"/>
      <c r="I106" s="5">
        <f>H106*G106</f>
        <v>0</v>
      </c>
    </row>
    <row r="107" spans="1:11" ht="49.5" customHeight="1" x14ac:dyDescent="0.7">
      <c r="H107" s="36">
        <f>SUM(I5:I104)</f>
        <v>27605.792099999999</v>
      </c>
      <c r="I107" s="36"/>
    </row>
    <row r="108" spans="1:11" ht="39.6" customHeight="1" x14ac:dyDescent="0.5">
      <c r="A108" s="30"/>
      <c r="B108" s="4"/>
      <c r="C108" s="4"/>
      <c r="D108" s="4"/>
      <c r="E108" s="4"/>
      <c r="F108" s="3"/>
      <c r="G108" s="5"/>
      <c r="H108" s="7"/>
      <c r="I108" s="3"/>
    </row>
  </sheetData>
  <mergeCells count="9">
    <mergeCell ref="H107:I107"/>
    <mergeCell ref="A1:I1"/>
    <mergeCell ref="A2:I2"/>
    <mergeCell ref="A3:A4"/>
    <mergeCell ref="B3:B4"/>
    <mergeCell ref="C3:C4"/>
    <mergeCell ref="D3:D4"/>
    <mergeCell ref="E3:E4"/>
    <mergeCell ref="H3:H4"/>
  </mergeCells>
  <pageMargins left="0.11811023622047245" right="0.11811023622047245" top="0.39370078740157483" bottom="0.74803149606299213" header="0.31496062992125984" footer="0.31496062992125984"/>
  <pageSetup paperSize="9" scale="5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LEVI (2)</vt:lpstr>
      <vt:lpstr>LEVI</vt:lpstr>
      <vt:lpstr>CONTROLE DE PEDIDOS</vt:lpstr>
      <vt:lpstr>VALORES DIVERSOS (1)</vt:lpstr>
      <vt:lpstr>VALORES ATUALIZADOS CHAPARIA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Carraio</dc:creator>
  <cp:lastModifiedBy>rogério marques de araujo</cp:lastModifiedBy>
  <cp:lastPrinted>2026-06-01T13:24:07Z</cp:lastPrinted>
  <dcterms:created xsi:type="dcterms:W3CDTF">2022-09-27T11:02:46Z</dcterms:created>
  <dcterms:modified xsi:type="dcterms:W3CDTF">2026-06-04T12:20:27Z</dcterms:modified>
</cp:coreProperties>
</file>